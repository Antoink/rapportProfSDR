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A139713B-2509-4EF5-82C0-AD33C82150E3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uXTfLNUGDnYsR5MMXXRz0lFzRYAHAycbwoYcL2p7G8="/>
    </ext>
  </extLst>
</workbook>
</file>

<file path=xl/calcChain.xml><?xml version="1.0" encoding="utf-8"?>
<calcChain xmlns="http://schemas.openxmlformats.org/spreadsheetml/2006/main">
  <c r="AH68" i="1" l="1"/>
  <c r="Z68" i="1"/>
  <c r="Y68" i="1"/>
  <c r="AA68" i="1" s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Z20" i="1"/>
  <c r="Y20" i="1"/>
  <c r="AA20" i="1" s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AA30" i="1" l="1"/>
  <c r="AA14" i="1"/>
  <c r="AA57" i="1"/>
  <c r="AA19" i="1"/>
  <c r="AA60" i="1"/>
  <c r="AA63" i="1"/>
  <c r="AA4" i="1"/>
  <c r="AA8" i="1"/>
  <c r="AA9" i="1"/>
  <c r="AA10" i="1"/>
  <c r="AA23" i="1"/>
  <c r="AA21" i="1"/>
  <c r="AA39" i="1"/>
  <c r="AA44" i="1"/>
  <c r="AA46" i="1"/>
</calcChain>
</file>

<file path=xl/sharedStrings.xml><?xml version="1.0" encoding="utf-8"?>
<sst xmlns="http://schemas.openxmlformats.org/spreadsheetml/2006/main" count="496" uniqueCount="167">
  <si>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</si>
  <si>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</si>
  <si>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</si>
  <si>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</si>
  <si>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</si>
  <si>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</si>
  <si>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</si>
  <si>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</si>
  <si>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</si>
  <si>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</si>
  <si>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</si>
  <si>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</si>
  <si>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</si>
  <si>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</si>
  <si>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</si>
  <si>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</si>
  <si>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</si>
  <si>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</si>
  <si>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</si>
  <si>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</si>
  <si>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</si>
  <si>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</si>
  <si>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</si>
  <si>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</si>
  <si>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</si>
  <si>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</si>
  <si>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</si>
  <si>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</si>
  <si>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</si>
  <si>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</si>
  <si>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</si>
  <si>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</si>
  <si>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</si>
  <si>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</si>
  <si>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</si>
  <si>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</si>
  <si>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</si>
  <si>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</si>
  <si>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</si>
  <si>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</si>
  <si>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</si>
  <si>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</si>
  <si>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</si>
  <si>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</si>
  <si>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</si>
  <si>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</si>
  <si>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</si>
  <si>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</si>
  <si>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</si>
  <si>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</si>
  <si>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</si>
  <si>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</si>
  <si>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</si>
  <si>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</si>
  <si>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</si>
  <si>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</si>
  <si>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</si>
  <si>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</si>
  <si>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</si>
  <si>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</si>
  <si>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</si>
  <si>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</si>
  <si>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</si>
  <si>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</si>
  <si>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</si>
  <si>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</si>
  <si>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</si>
  <si>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</si>
  <si>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</si>
  <si>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</si>
  <si>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</si>
  <si>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</si>
  <si>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</si>
  <si>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</si>
  <si>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</si>
  <si>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</si>
  <si>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</si>
  <si>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</si>
  <si>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</si>
  <si>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</si>
  <si>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</si>
  <si>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</si>
  <si>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</si>
  <si>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</si>
  <si>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</si>
  <si>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</si>
  <si>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</si>
  <si>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</si>
  <si>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</si>
  <si>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</si>
  <si>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</si>
  <si>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</si>
  <si>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</si>
  <si>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</si>
  <si>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</si>
  <si>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</si>
  <si>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</si>
  <si>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</si>
  <si>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</si>
  <si>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</si>
  <si>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</si>
  <si>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</si>
  <si>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</si>
  <si>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</si>
  <si>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</si>
  <si>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</si>
  <si>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</si>
  <si>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</si>
  <si>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</si>
  <si>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</si>
  <si>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</si>
  <si>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</si>
  <si>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</si>
  <si>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</si>
  <si>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</si>
  <si>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</si>
  <si>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</si>
  <si>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</si>
  <si>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</si>
  <si>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</si>
  <si>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</si>
  <si>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</si>
  <si>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</si>
  <si>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</si>
  <si>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</si>
  <si>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</si>
  <si>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</si>
  <si>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</si>
  <si>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</si>
  <si>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</si>
  <si>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</si>
  <si>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</si>
  <si>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</si>
  <si>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</si>
  <si>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</si>
  <si>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</si>
  <si>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</si>
  <si>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</si>
  <si>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</si>
  <si>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</si>
  <si>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</si>
  <si>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</si>
  <si>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</si>
  <si>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</si>
  <si>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</si>
  <si>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</si>
  <si>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</si>
  <si>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</si>
  <si>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</si>
  <si>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</si>
  <si>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</si>
  <si>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</si>
  <si>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</si>
  <si>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</si>
  <si>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</si>
  <si>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</si>
  <si>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</si>
  <si>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</si>
  <si>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</si>
  <si>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</si>
  <si>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</si>
  <si>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</si>
  <si>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</si>
  <si>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</si>
  <si>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</si>
  <si>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</si>
  <si>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Pré-Saison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</si>
</sst>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000000"/>
      <name val="&quot;\0022Aptos Narrow\0022&quot;"/>
    </font>
    <font>
      <sz val="11"/>
      <color rgb="FF000000"/>
      <name val="Arial"/>
    </font>
    <font>
      <sz val="11"/>
      <color rgb="FF000000"/>
      <name val="&quot;Aptos Narrow&quot;"/>
    </font>
    <font>
      <b/>
      <sz val="11"/>
      <color theme="1"/>
      <name val="Arial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7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7"/>
  <sheetViews>
    <sheetView tabSelected="1" zoomScale="89" workbookViewId="0">
      <pane xSplit="1" ySplit="1" topLeftCell="F22" activePane="bottomRight" state="frozen"/>
      <selection pane="topRight" activeCell="B1" sqref="B1"/>
      <selection pane="bottomLeft" activeCell="A2" sqref="A2"/>
      <selection pane="bottomRight" activeCell="I34" sqref="I34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2" width="13.36328125" bestFit="1" customWidth="1"/>
    <col min="13" max="13" width="11.08984375" bestFit="1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2">
        <v>33</v>
      </c>
      <c r="L2" s="9">
        <v>46209</v>
      </c>
      <c r="M2" s="9" t="s">
        <v>166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6232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7" si="5">BF2/I2</f>
        <v>3.0158730158730163</v>
      </c>
      <c r="BH2" s="2">
        <v>183</v>
      </c>
      <c r="BI2" s="1">
        <f t="shared" ref="BI2:BI67" si="6">BH2/I2</f>
        <v>2.4206349206349209</v>
      </c>
      <c r="BJ2" s="2">
        <v>156</v>
      </c>
      <c r="BK2" s="1">
        <f t="shared" ref="BK2:BK67" si="7">BJ2/I2</f>
        <v>2.0634920634920637</v>
      </c>
      <c r="BL2" s="2">
        <v>136</v>
      </c>
      <c r="BM2" s="1">
        <f t="shared" ref="BM2:BM67" si="8">BL2/I2</f>
        <v>1.7989417989417991</v>
      </c>
      <c r="BN2" s="2">
        <v>136</v>
      </c>
      <c r="BO2" s="1">
        <f t="shared" ref="BO2:BO67" si="9">BN2/I2</f>
        <v>1.7989417989417991</v>
      </c>
      <c r="BP2" s="2">
        <v>134</v>
      </c>
      <c r="BQ2" s="1">
        <f t="shared" ref="BQ2:BQ67" si="10">BP2/I2</f>
        <v>1.7724867724867726</v>
      </c>
      <c r="BR2" s="2">
        <v>117</v>
      </c>
      <c r="BS2" s="1">
        <f t="shared" ref="BS2:BS67" si="11">BR2/I2</f>
        <v>1.5476190476190477</v>
      </c>
      <c r="BT2" s="2">
        <v>134</v>
      </c>
      <c r="BU2" s="1">
        <f t="shared" ref="BU2:BU6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7" si="14">BT2/BH2</f>
        <v>0.73224043715846998</v>
      </c>
      <c r="BY2" s="1">
        <f t="shared" ref="BY2:BY8" si="15">BV2/BJ2</f>
        <v>0.97435897435897434</v>
      </c>
    </row>
    <row r="3" spans="1:77" ht="14.25" customHeight="1">
      <c r="A3" s="10" t="s">
        <v>82</v>
      </c>
      <c r="B3" s="10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9">
        <v>46209</v>
      </c>
      <c r="M3" s="9" t="s">
        <v>166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4">
        <v>13</v>
      </c>
      <c r="AS3" s="14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4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>
      <c r="A4" s="6" t="s">
        <v>86</v>
      </c>
      <c r="B4" s="6">
        <v>9</v>
      </c>
      <c r="C4" s="6" t="s">
        <v>83</v>
      </c>
      <c r="D4" s="6" t="s">
        <v>84</v>
      </c>
      <c r="E4" s="6" t="s">
        <v>87</v>
      </c>
      <c r="F4" s="15">
        <v>37263</v>
      </c>
      <c r="G4" s="8" t="s">
        <v>81</v>
      </c>
      <c r="H4" s="5">
        <v>24</v>
      </c>
      <c r="I4" s="2">
        <v>80.7</v>
      </c>
      <c r="J4" s="2">
        <v>179.5</v>
      </c>
      <c r="K4" s="2">
        <v>60</v>
      </c>
      <c r="L4" s="1"/>
      <c r="M4" s="9" t="s">
        <v>166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>
      <c r="A5" s="13" t="s">
        <v>88</v>
      </c>
      <c r="B5" s="10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2">
        <v>32</v>
      </c>
      <c r="L5" s="1"/>
      <c r="M5" s="9" t="s">
        <v>166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6">
        <v>14.1</v>
      </c>
      <c r="AS5" s="16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 t="s">
        <v>166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>
      <c r="A7" s="13" t="s">
        <v>90</v>
      </c>
      <c r="B7" s="10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2">
        <v>50.5</v>
      </c>
      <c r="L7" s="9">
        <v>46216</v>
      </c>
      <c r="M7" s="9" t="s">
        <v>166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>
        <v>33.799999999999997</v>
      </c>
      <c r="AN7" s="1">
        <v>1959.8</v>
      </c>
      <c r="AO7" s="1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>
      <c r="A8" s="6" t="s">
        <v>91</v>
      </c>
      <c r="B8" s="6">
        <v>10</v>
      </c>
      <c r="C8" s="6" t="s">
        <v>83</v>
      </c>
      <c r="D8" s="6" t="s">
        <v>84</v>
      </c>
      <c r="E8" s="6" t="s">
        <v>85</v>
      </c>
      <c r="F8" s="15">
        <v>36473</v>
      </c>
      <c r="G8" s="8" t="s">
        <v>81</v>
      </c>
      <c r="H8" s="5">
        <v>26</v>
      </c>
      <c r="I8" s="2">
        <v>81</v>
      </c>
      <c r="J8" s="2">
        <v>180.7</v>
      </c>
      <c r="K8" s="2">
        <v>36.5</v>
      </c>
      <c r="L8" s="2"/>
      <c r="M8" s="9" t="s">
        <v>166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>
      <c r="A9" s="13" t="s">
        <v>92</v>
      </c>
      <c r="B9" s="10">
        <v>8</v>
      </c>
      <c r="C9" s="10" t="s">
        <v>83</v>
      </c>
      <c r="D9" s="10" t="s">
        <v>93</v>
      </c>
      <c r="E9" s="10" t="s">
        <v>94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2">
        <v>31</v>
      </c>
      <c r="L9" s="1"/>
      <c r="M9" s="9" t="s">
        <v>166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6">
        <v>12.6</v>
      </c>
      <c r="AS9" s="16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>
      <c r="A10" s="5" t="s">
        <v>95</v>
      </c>
      <c r="B10" s="6">
        <v>48</v>
      </c>
      <c r="C10" s="6" t="s">
        <v>83</v>
      </c>
      <c r="D10" s="6" t="s">
        <v>84</v>
      </c>
      <c r="E10" s="6" t="s">
        <v>87</v>
      </c>
      <c r="F10" s="15">
        <v>39832</v>
      </c>
      <c r="G10" s="8" t="s">
        <v>81</v>
      </c>
      <c r="H10" s="6">
        <v>17</v>
      </c>
      <c r="I10" s="2">
        <v>63.7</v>
      </c>
      <c r="J10" s="2">
        <v>167</v>
      </c>
      <c r="K10" s="2">
        <v>34.5</v>
      </c>
      <c r="L10" s="1"/>
      <c r="M10" s="9" t="s">
        <v>166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7" si="18">BV10/BJ10</f>
        <v>1.1533523537803139</v>
      </c>
    </row>
    <row r="11" spans="1:77" ht="14.25" customHeight="1">
      <c r="A11" s="13" t="s">
        <v>96</v>
      </c>
      <c r="B11" s="10">
        <v>24</v>
      </c>
      <c r="C11" s="10" t="s">
        <v>83</v>
      </c>
      <c r="D11" s="10" t="s">
        <v>93</v>
      </c>
      <c r="E11" s="10" t="s">
        <v>97</v>
      </c>
      <c r="F11" s="17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2">
        <v>42</v>
      </c>
      <c r="L11" s="1"/>
      <c r="M11" s="9" t="s">
        <v>166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>
      <c r="A12" s="10" t="s">
        <v>98</v>
      </c>
      <c r="B12" s="10">
        <v>20</v>
      </c>
      <c r="C12" s="10" t="s">
        <v>78</v>
      </c>
      <c r="D12" s="10" t="s">
        <v>79</v>
      </c>
      <c r="E12" s="10" t="s">
        <v>80</v>
      </c>
      <c r="F12" s="17">
        <v>37543</v>
      </c>
      <c r="G12" s="8" t="s">
        <v>81</v>
      </c>
      <c r="H12" s="10">
        <v>23</v>
      </c>
      <c r="I12" s="2">
        <v>73.8</v>
      </c>
      <c r="J12" s="2">
        <v>183</v>
      </c>
      <c r="K12" s="2">
        <v>33.5</v>
      </c>
      <c r="L12" s="9">
        <v>46209</v>
      </c>
      <c r="M12" s="9" t="s">
        <v>166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8">
        <v>12.1</v>
      </c>
      <c r="AS12" s="8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>
      <c r="A13" s="10" t="s">
        <v>99</v>
      </c>
      <c r="B13" s="10">
        <v>1</v>
      </c>
      <c r="C13" s="10" t="s">
        <v>83</v>
      </c>
      <c r="D13" s="10" t="s">
        <v>100</v>
      </c>
      <c r="E13" s="10" t="s">
        <v>101</v>
      </c>
      <c r="F13" s="17">
        <v>38088</v>
      </c>
      <c r="G13" s="12" t="s">
        <v>81</v>
      </c>
      <c r="H13" s="10">
        <v>22</v>
      </c>
      <c r="I13" s="2">
        <v>97.7</v>
      </c>
      <c r="J13" s="2">
        <v>207</v>
      </c>
      <c r="K13" s="2">
        <v>41.5</v>
      </c>
      <c r="L13" s="1"/>
      <c r="M13" s="9" t="s">
        <v>166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19">U13+V13</f>
        <v>62.1</v>
      </c>
      <c r="Z13" s="1">
        <f t="shared" ref="Z13:Z28" si="20">W13+X13</f>
        <v>55.2</v>
      </c>
      <c r="AA13" s="1">
        <f t="shared" ref="AA13:AA28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>
      <c r="A14" s="6" t="s">
        <v>102</v>
      </c>
      <c r="B14" s="6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 t="s">
        <v>166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>
      <c r="A15" s="13" t="s">
        <v>103</v>
      </c>
      <c r="B15" s="10">
        <v>22</v>
      </c>
      <c r="C15" s="10" t="s">
        <v>78</v>
      </c>
      <c r="D15" s="10" t="s">
        <v>79</v>
      </c>
      <c r="E15" s="10" t="s">
        <v>104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2">
        <v>41.5</v>
      </c>
      <c r="L15" s="1"/>
      <c r="M15" s="9" t="s">
        <v>166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>
      <c r="A16" s="5" t="s">
        <v>105</v>
      </c>
      <c r="B16" s="6">
        <v>6</v>
      </c>
      <c r="C16" s="6" t="s">
        <v>78</v>
      </c>
      <c r="D16" s="6" t="s">
        <v>93</v>
      </c>
      <c r="E16" s="6" t="s">
        <v>106</v>
      </c>
      <c r="F16" s="15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 t="s">
        <v>166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>
      <c r="A17" s="10" t="s">
        <v>107</v>
      </c>
      <c r="B17" s="10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2">
        <v>62</v>
      </c>
      <c r="L17" s="1"/>
      <c r="M17" s="9" t="s">
        <v>166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>
      <c r="A18" s="6" t="s">
        <v>108</v>
      </c>
      <c r="B18" s="6">
        <v>28</v>
      </c>
      <c r="C18" s="6" t="s">
        <v>83</v>
      </c>
      <c r="D18" s="6" t="s">
        <v>79</v>
      </c>
      <c r="E18" s="6" t="s">
        <v>104</v>
      </c>
      <c r="F18" s="15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 t="s">
        <v>166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>
      <c r="A19" s="13" t="s">
        <v>109</v>
      </c>
      <c r="B19" s="10">
        <v>2</v>
      </c>
      <c r="C19" s="10" t="s">
        <v>83</v>
      </c>
      <c r="D19" s="10" t="s">
        <v>79</v>
      </c>
      <c r="E19" s="10" t="s">
        <v>104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2">
        <v>50</v>
      </c>
      <c r="L19" s="1"/>
      <c r="M19" s="9" t="s">
        <v>166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2">
        <v>4375</v>
      </c>
      <c r="AR19" s="16">
        <v>11.5</v>
      </c>
      <c r="AS19" s="16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1" si="24"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>
      <c r="A20" s="5" t="s">
        <v>110</v>
      </c>
      <c r="B20" s="6">
        <v>12</v>
      </c>
      <c r="C20" s="10" t="s">
        <v>83</v>
      </c>
      <c r="D20" s="10" t="s">
        <v>100</v>
      </c>
      <c r="E20" s="10" t="s">
        <v>101</v>
      </c>
      <c r="F20" s="17">
        <v>37335</v>
      </c>
      <c r="G20" s="12" t="s">
        <v>81</v>
      </c>
      <c r="H20" s="13">
        <v>24</v>
      </c>
      <c r="I20" s="2">
        <v>90.5</v>
      </c>
      <c r="J20" s="2">
        <v>197</v>
      </c>
      <c r="K20" s="2">
        <v>53</v>
      </c>
      <c r="L20" s="9">
        <v>46210</v>
      </c>
      <c r="M20" s="9" t="s">
        <v>166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6">
        <v>11.4</v>
      </c>
      <c r="AS20" s="16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</row>
    <row r="21" spans="1:77" ht="14.25" customHeight="1">
      <c r="A21" s="5" t="s">
        <v>111</v>
      </c>
      <c r="B21" s="6"/>
      <c r="C21" s="6" t="s">
        <v>83</v>
      </c>
      <c r="D21" s="6" t="s">
        <v>93</v>
      </c>
      <c r="E21" s="6" t="s">
        <v>97</v>
      </c>
      <c r="F21" s="15">
        <v>39197</v>
      </c>
      <c r="G21" s="8" t="s">
        <v>81</v>
      </c>
      <c r="H21" s="5">
        <v>19</v>
      </c>
      <c r="I21" s="2">
        <v>69.8</v>
      </c>
      <c r="J21" s="2">
        <v>183</v>
      </c>
      <c r="K21" s="1"/>
      <c r="L21" s="9">
        <v>46219</v>
      </c>
      <c r="M21" s="9" t="s">
        <v>166</v>
      </c>
      <c r="N21" s="2">
        <v>845</v>
      </c>
      <c r="O21" s="2">
        <v>22.5</v>
      </c>
      <c r="P21" s="2">
        <v>27.1</v>
      </c>
      <c r="Q21" s="2">
        <v>7</v>
      </c>
      <c r="R21" s="2">
        <v>5.5</v>
      </c>
      <c r="S21" s="2">
        <v>7.9</v>
      </c>
      <c r="T21" s="2">
        <v>8.1</v>
      </c>
      <c r="U21" s="2">
        <v>22.1</v>
      </c>
      <c r="V21" s="2">
        <v>26</v>
      </c>
      <c r="W21" s="2">
        <v>17.8</v>
      </c>
      <c r="X21" s="2">
        <v>19.7</v>
      </c>
      <c r="Y21" s="1">
        <f t="shared" si="19"/>
        <v>48.1</v>
      </c>
      <c r="Z21" s="1">
        <f t="shared" si="20"/>
        <v>37.5</v>
      </c>
      <c r="AA21" s="1">
        <f t="shared" si="21"/>
        <v>1.2826666666666666</v>
      </c>
      <c r="AB21" s="2">
        <v>14</v>
      </c>
      <c r="AC21" s="2">
        <v>11</v>
      </c>
      <c r="AD21" s="2">
        <v>9</v>
      </c>
      <c r="AE21" s="2">
        <v>11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</v>
      </c>
      <c r="AO21" s="2">
        <v>5279</v>
      </c>
      <c r="AP21" s="2">
        <v>2.13</v>
      </c>
      <c r="AQ21" s="2">
        <v>3036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</v>
      </c>
      <c r="BE21" s="1">
        <f t="shared" si="16"/>
        <v>3.2521489971346704</v>
      </c>
      <c r="BF21" s="2">
        <v>242.3</v>
      </c>
      <c r="BG21" s="1">
        <f t="shared" si="5"/>
        <v>3.4713467048710607</v>
      </c>
      <c r="BH21" s="2">
        <v>126.6</v>
      </c>
      <c r="BI21" s="1">
        <f t="shared" si="6"/>
        <v>1.813753581661891</v>
      </c>
      <c r="BJ21" s="2">
        <v>148.69999999999999</v>
      </c>
      <c r="BK21" s="1">
        <f t="shared" si="7"/>
        <v>2.1303724928366763</v>
      </c>
      <c r="BL21" s="2">
        <v>101.7</v>
      </c>
      <c r="BM21" s="1">
        <f t="shared" si="8"/>
        <v>1.4570200573065903</v>
      </c>
      <c r="BN21" s="2">
        <v>86.2</v>
      </c>
      <c r="BO21" s="1">
        <f t="shared" si="9"/>
        <v>1.2349570200573068</v>
      </c>
      <c r="BP21" s="2">
        <v>84.6</v>
      </c>
      <c r="BQ21" s="1">
        <f t="shared" si="10"/>
        <v>1.2120343839541547</v>
      </c>
      <c r="BR21" s="2">
        <v>96.7</v>
      </c>
      <c r="BS21" s="1">
        <f t="shared" si="11"/>
        <v>1.3853868194842407</v>
      </c>
      <c r="BT21" s="2">
        <v>196.7</v>
      </c>
      <c r="BU21" s="1">
        <f t="shared" si="12"/>
        <v>2.8180515759312321</v>
      </c>
      <c r="BV21" s="2">
        <v>168.9</v>
      </c>
      <c r="BW21" s="1">
        <f t="shared" si="24"/>
        <v>3.2521489971346704</v>
      </c>
      <c r="BX21" s="1">
        <f t="shared" si="14"/>
        <v>1.5537124802527646</v>
      </c>
      <c r="BY21" s="1">
        <f t="shared" si="18"/>
        <v>1.1358439811701413</v>
      </c>
    </row>
    <row r="22" spans="1:77" ht="14.25" customHeight="1">
      <c r="A22" s="5" t="s">
        <v>112</v>
      </c>
      <c r="B22" s="6">
        <v>30</v>
      </c>
      <c r="C22" s="6" t="s">
        <v>83</v>
      </c>
      <c r="D22" s="6" t="s">
        <v>93</v>
      </c>
      <c r="E22" s="6" t="s">
        <v>106</v>
      </c>
      <c r="F22" s="15">
        <v>37888</v>
      </c>
      <c r="G22" s="8" t="s">
        <v>81</v>
      </c>
      <c r="H22" s="5">
        <v>22</v>
      </c>
      <c r="I22" s="2">
        <v>80.7</v>
      </c>
      <c r="J22" s="2">
        <v>186.5</v>
      </c>
      <c r="K22" s="1"/>
      <c r="L22" s="1"/>
      <c r="M22" s="9" t="s">
        <v>166</v>
      </c>
      <c r="N22" s="2">
        <v>1456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8.8000000000000007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19"/>
        <v>48.099999999999994</v>
      </c>
      <c r="Z22" s="1">
        <f t="shared" si="20"/>
        <v>61.8</v>
      </c>
      <c r="AA22" s="1">
        <f t="shared" si="21"/>
        <v>0.77831715210355978</v>
      </c>
      <c r="AB22" s="2">
        <v>15</v>
      </c>
      <c r="AC22" s="2">
        <v>15</v>
      </c>
      <c r="AD22" s="2">
        <v>11</v>
      </c>
      <c r="AE22" s="2">
        <v>12</v>
      </c>
      <c r="AF22" s="2">
        <v>16.5</v>
      </c>
      <c r="AG22" s="1"/>
      <c r="AH22" s="1">
        <f t="shared" ref="AH22:AH24" si="25">AG22/I22</f>
        <v>0</v>
      </c>
      <c r="AI22" s="1"/>
      <c r="AJ22" s="1">
        <f t="shared" ref="AJ22:AJ24" si="26">AI22/I22</f>
        <v>0</v>
      </c>
      <c r="AK22" s="1"/>
      <c r="AL22" s="1"/>
      <c r="AM22" s="2">
        <v>39.799999999999997</v>
      </c>
      <c r="AN22" s="2">
        <v>2312</v>
      </c>
      <c r="AO22" s="2">
        <v>13628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</v>
      </c>
      <c r="AW22" s="1"/>
      <c r="AX22" s="1"/>
      <c r="AY22" s="1"/>
      <c r="AZ22" s="1"/>
      <c r="BA22" s="1"/>
      <c r="BB22" s="1"/>
      <c r="BC22" s="1"/>
      <c r="BD22" s="2">
        <v>281</v>
      </c>
      <c r="BE22" s="1">
        <f t="shared" si="16"/>
        <v>3.4820322180916974</v>
      </c>
      <c r="BF22" s="2">
        <v>305</v>
      </c>
      <c r="BG22" s="1">
        <f t="shared" si="5"/>
        <v>3.7794299876084261</v>
      </c>
      <c r="BH22" s="2">
        <v>156</v>
      </c>
      <c r="BI22" s="1">
        <f t="shared" si="6"/>
        <v>1.9330855018587361</v>
      </c>
      <c r="BJ22" s="2">
        <v>180</v>
      </c>
      <c r="BK22" s="1">
        <f t="shared" si="7"/>
        <v>2.2304832713754648</v>
      </c>
      <c r="BL22" s="2">
        <v>173</v>
      </c>
      <c r="BM22" s="1">
        <f t="shared" si="8"/>
        <v>2.1437422552664187</v>
      </c>
      <c r="BN22" s="2">
        <v>162</v>
      </c>
      <c r="BO22" s="1">
        <f t="shared" si="9"/>
        <v>2.007434944237918</v>
      </c>
      <c r="BP22" s="2">
        <v>116</v>
      </c>
      <c r="BQ22" s="1">
        <f t="shared" si="10"/>
        <v>1.4374225526641884</v>
      </c>
      <c r="BR22" s="2">
        <v>158</v>
      </c>
      <c r="BS22" s="1">
        <f t="shared" si="11"/>
        <v>1.9578686493184634</v>
      </c>
      <c r="BT22" s="2">
        <v>215</v>
      </c>
      <c r="BU22" s="1">
        <f t="shared" si="12"/>
        <v>2.6641883519206937</v>
      </c>
      <c r="BV22" s="2">
        <v>234</v>
      </c>
      <c r="BW22" s="1">
        <f t="shared" ref="BW22:BW28" si="27">BV22/I22</f>
        <v>2.8996282527881041</v>
      </c>
      <c r="BX22" s="1">
        <f t="shared" si="14"/>
        <v>1.3782051282051282</v>
      </c>
      <c r="BY22" s="1">
        <f t="shared" si="18"/>
        <v>1.3</v>
      </c>
    </row>
    <row r="23" spans="1:77" ht="14.25" customHeight="1">
      <c r="A23" s="5" t="s">
        <v>113</v>
      </c>
      <c r="B23" s="6">
        <v>16</v>
      </c>
      <c r="C23" s="10" t="s">
        <v>78</v>
      </c>
      <c r="D23" s="10" t="s">
        <v>100</v>
      </c>
      <c r="E23" s="10" t="s">
        <v>101</v>
      </c>
      <c r="F23" s="17">
        <v>33541</v>
      </c>
      <c r="G23" s="12" t="s">
        <v>81</v>
      </c>
      <c r="H23" s="13">
        <v>34</v>
      </c>
      <c r="I23" s="2">
        <v>82</v>
      </c>
      <c r="J23" s="2">
        <v>186.5</v>
      </c>
      <c r="K23" s="2">
        <v>54.5</v>
      </c>
      <c r="L23" s="1"/>
      <c r="M23" s="9" t="s">
        <v>166</v>
      </c>
      <c r="N23" s="2">
        <v>1107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8.8000000000000007</v>
      </c>
      <c r="U23" s="2">
        <v>31.3</v>
      </c>
      <c r="V23" s="2">
        <v>32.200000000000003</v>
      </c>
      <c r="W23" s="2">
        <v>25.9</v>
      </c>
      <c r="X23" s="2">
        <v>24.2</v>
      </c>
      <c r="Y23" s="1">
        <f t="shared" si="19"/>
        <v>63.5</v>
      </c>
      <c r="Z23" s="1">
        <f t="shared" si="20"/>
        <v>50.099999999999994</v>
      </c>
      <c r="AA23" s="1">
        <f t="shared" si="21"/>
        <v>1.2674650698602796</v>
      </c>
      <c r="AB23" s="2">
        <v>16</v>
      </c>
      <c r="AC23" s="2">
        <v>15</v>
      </c>
      <c r="AD23" s="2">
        <v>9</v>
      </c>
      <c r="AE23" s="2">
        <v>9</v>
      </c>
      <c r="AF23" s="2">
        <v>20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35.700000000000003</v>
      </c>
      <c r="AN23" s="2">
        <v>2200</v>
      </c>
      <c r="AO23" s="2">
        <v>12458</v>
      </c>
      <c r="AP23" s="2">
        <v>2.2200000000000002</v>
      </c>
      <c r="AQ23" s="1"/>
      <c r="AR23" s="2">
        <v>11.5</v>
      </c>
      <c r="AS23" s="2">
        <v>15.3</v>
      </c>
      <c r="AT23" s="1"/>
      <c r="AU23" s="2">
        <v>16</v>
      </c>
      <c r="AV23" s="2">
        <v>221</v>
      </c>
      <c r="AW23" s="1"/>
      <c r="AX23" s="1"/>
      <c r="AY23" s="1"/>
      <c r="AZ23" s="1"/>
      <c r="BA23" s="1"/>
      <c r="BB23" s="1"/>
      <c r="BC23" s="1"/>
      <c r="BD23" s="2">
        <v>226</v>
      </c>
      <c r="BE23" s="1">
        <f t="shared" si="16"/>
        <v>2.7560975609756095</v>
      </c>
      <c r="BF23" s="2">
        <v>209</v>
      </c>
      <c r="BG23" s="1">
        <f t="shared" si="5"/>
        <v>2.5487804878048781</v>
      </c>
      <c r="BH23" s="2">
        <v>161</v>
      </c>
      <c r="BI23" s="1">
        <f t="shared" si="6"/>
        <v>1.9634146341463414</v>
      </c>
      <c r="BJ23" s="2">
        <v>162</v>
      </c>
      <c r="BK23" s="1">
        <f t="shared" si="7"/>
        <v>1.975609756097561</v>
      </c>
      <c r="BL23" s="2">
        <v>144</v>
      </c>
      <c r="BM23" s="1">
        <f t="shared" si="8"/>
        <v>1.7560975609756098</v>
      </c>
      <c r="BN23" s="2">
        <v>148</v>
      </c>
      <c r="BO23" s="1">
        <f t="shared" si="9"/>
        <v>1.8048780487804879</v>
      </c>
      <c r="BP23" s="2">
        <v>111</v>
      </c>
      <c r="BQ23" s="1">
        <f t="shared" si="10"/>
        <v>1.3536585365853659</v>
      </c>
      <c r="BR23" s="2">
        <v>129</v>
      </c>
      <c r="BS23" s="1">
        <f t="shared" si="11"/>
        <v>1.5731707317073171</v>
      </c>
      <c r="BT23" s="2">
        <v>178</v>
      </c>
      <c r="BU23" s="1">
        <f t="shared" si="12"/>
        <v>2.1707317073170733</v>
      </c>
      <c r="BV23" s="2">
        <v>199</v>
      </c>
      <c r="BW23" s="1">
        <f t="shared" si="27"/>
        <v>2.4268292682926829</v>
      </c>
      <c r="BX23" s="1">
        <f t="shared" si="14"/>
        <v>1.1055900621118013</v>
      </c>
      <c r="BY23" s="1">
        <f t="shared" si="18"/>
        <v>1.228395061728395</v>
      </c>
    </row>
    <row r="24" spans="1:77" ht="14.25" customHeight="1">
      <c r="A24" s="13" t="s">
        <v>114</v>
      </c>
      <c r="B24" s="10">
        <v>19</v>
      </c>
      <c r="C24" s="6" t="s">
        <v>83</v>
      </c>
      <c r="D24" s="6" t="s">
        <v>84</v>
      </c>
      <c r="E24" s="6" t="s">
        <v>85</v>
      </c>
      <c r="F24" s="15">
        <v>35181</v>
      </c>
      <c r="G24" s="8" t="s">
        <v>81</v>
      </c>
      <c r="H24" s="5">
        <v>30</v>
      </c>
      <c r="I24" s="2">
        <v>90.3</v>
      </c>
      <c r="J24" s="2">
        <v>191.8</v>
      </c>
      <c r="K24" s="2">
        <v>46</v>
      </c>
      <c r="L24" s="1"/>
      <c r="M24" s="9" t="s">
        <v>166</v>
      </c>
      <c r="N24" s="2">
        <v>1302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</v>
      </c>
      <c r="U24" s="2">
        <v>32.200000000000003</v>
      </c>
      <c r="V24" s="2">
        <v>35.5</v>
      </c>
      <c r="W24" s="2">
        <v>26.9</v>
      </c>
      <c r="X24" s="2">
        <v>29.3</v>
      </c>
      <c r="Y24" s="1">
        <f t="shared" si="19"/>
        <v>67.7</v>
      </c>
      <c r="Z24" s="1">
        <f t="shared" si="20"/>
        <v>56.2</v>
      </c>
      <c r="AA24" s="1">
        <f t="shared" si="21"/>
        <v>1.2046263345195729</v>
      </c>
      <c r="AB24" s="2">
        <v>16</v>
      </c>
      <c r="AC24" s="2">
        <v>15</v>
      </c>
      <c r="AD24" s="2">
        <v>14</v>
      </c>
      <c r="AE24" s="2">
        <v>11</v>
      </c>
      <c r="AF24" s="2">
        <v>26.5</v>
      </c>
      <c r="AG24" s="1"/>
      <c r="AH24" s="1">
        <f t="shared" si="25"/>
        <v>0</v>
      </c>
      <c r="AI24" s="1"/>
      <c r="AJ24" s="1">
        <f t="shared" si="26"/>
        <v>0</v>
      </c>
      <c r="AK24" s="1"/>
      <c r="AL24" s="1"/>
      <c r="AM24" s="2">
        <v>33</v>
      </c>
      <c r="AN24" s="2">
        <v>2296</v>
      </c>
      <c r="AO24" s="2">
        <v>12668</v>
      </c>
      <c r="AP24" s="2">
        <v>1.89</v>
      </c>
      <c r="AQ24" s="2">
        <v>6799</v>
      </c>
      <c r="AR24" s="2">
        <v>12.3</v>
      </c>
      <c r="AS24" s="2">
        <v>15.6</v>
      </c>
      <c r="AT24" s="1"/>
      <c r="AU24" s="2">
        <v>16</v>
      </c>
      <c r="AV24" s="2">
        <v>222</v>
      </c>
      <c r="AW24" s="1"/>
      <c r="AX24" s="1"/>
      <c r="AY24" s="1"/>
      <c r="AZ24" s="1"/>
      <c r="BA24" s="1"/>
      <c r="BB24" s="1"/>
      <c r="BC24" s="1"/>
      <c r="BD24" s="2">
        <v>255</v>
      </c>
      <c r="BE24" s="1">
        <f t="shared" si="16"/>
        <v>2.823920265780731</v>
      </c>
      <c r="BF24" s="2">
        <v>333</v>
      </c>
      <c r="BG24" s="1">
        <f t="shared" si="5"/>
        <v>3.6877076411960132</v>
      </c>
      <c r="BH24" s="2">
        <v>183</v>
      </c>
      <c r="BI24" s="1">
        <f t="shared" si="6"/>
        <v>2.0265780730897012</v>
      </c>
      <c r="BJ24" s="2">
        <v>212</v>
      </c>
      <c r="BK24" s="1">
        <f t="shared" si="7"/>
        <v>2.3477297895902547</v>
      </c>
      <c r="BL24" s="2">
        <v>189</v>
      </c>
      <c r="BM24" s="1">
        <f t="shared" si="8"/>
        <v>2.0930232558139537</v>
      </c>
      <c r="BN24" s="2">
        <v>214</v>
      </c>
      <c r="BO24" s="1">
        <f t="shared" si="9"/>
        <v>2.3698781838316725</v>
      </c>
      <c r="BP24" s="2">
        <v>166</v>
      </c>
      <c r="BQ24" s="1">
        <f t="shared" si="10"/>
        <v>1.8383167220376524</v>
      </c>
      <c r="BR24" s="2">
        <v>170</v>
      </c>
      <c r="BS24" s="1">
        <f t="shared" si="11"/>
        <v>1.8826135105204873</v>
      </c>
      <c r="BT24" s="2">
        <v>210</v>
      </c>
      <c r="BU24" s="1">
        <f t="shared" si="12"/>
        <v>2.3255813953488373</v>
      </c>
      <c r="BV24" s="2">
        <v>239</v>
      </c>
      <c r="BW24" s="1">
        <f t="shared" si="27"/>
        <v>2.6467331118493909</v>
      </c>
      <c r="BX24" s="1">
        <f t="shared" si="14"/>
        <v>1.1475409836065573</v>
      </c>
      <c r="BY24" s="1">
        <f t="shared" si="18"/>
        <v>1.1273584905660377</v>
      </c>
    </row>
    <row r="25" spans="1:77" ht="14.25" customHeight="1">
      <c r="A25" s="5" t="s">
        <v>115</v>
      </c>
      <c r="B25" s="6">
        <v>99</v>
      </c>
      <c r="C25" s="10" t="s">
        <v>83</v>
      </c>
      <c r="D25" s="10" t="s">
        <v>84</v>
      </c>
      <c r="E25" s="10" t="s">
        <v>85</v>
      </c>
      <c r="F25" s="17">
        <v>36894</v>
      </c>
      <c r="G25" s="12" t="s">
        <v>81</v>
      </c>
      <c r="H25" s="13">
        <v>25</v>
      </c>
      <c r="I25" s="2">
        <v>78.099999999999994</v>
      </c>
      <c r="J25" s="2">
        <v>182.5</v>
      </c>
      <c r="K25" s="1"/>
      <c r="L25" s="9">
        <v>46210</v>
      </c>
      <c r="M25" s="9" t="s">
        <v>166</v>
      </c>
      <c r="N25" s="2">
        <v>999</v>
      </c>
      <c r="O25" s="2">
        <v>37.700000000000003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19"/>
        <v>30.6</v>
      </c>
      <c r="Z25" s="1">
        <f t="shared" si="20"/>
        <v>44.5</v>
      </c>
      <c r="AA25" s="1">
        <f t="shared" si="21"/>
        <v>0.68764044943820224</v>
      </c>
      <c r="AB25" s="2">
        <v>15</v>
      </c>
      <c r="AC25" s="2">
        <v>19</v>
      </c>
      <c r="AD25" s="2">
        <v>10</v>
      </c>
      <c r="AE25" s="2">
        <v>11</v>
      </c>
      <c r="AF25" s="2">
        <v>23</v>
      </c>
      <c r="AG25" s="1"/>
      <c r="AH25" s="1"/>
      <c r="AI25" s="1"/>
      <c r="AJ25" s="1"/>
      <c r="AK25" s="1"/>
      <c r="AL25" s="1"/>
      <c r="AM25" s="2">
        <v>38.6</v>
      </c>
      <c r="AN25" s="2">
        <v>1764</v>
      </c>
      <c r="AO25" s="2">
        <v>11079</v>
      </c>
      <c r="AP25" s="2">
        <v>2.11</v>
      </c>
      <c r="AQ25" s="1"/>
      <c r="AR25" s="16"/>
      <c r="AS25" s="16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</v>
      </c>
      <c r="BE25" s="1">
        <f t="shared" si="16"/>
        <v>2.8809218950064022</v>
      </c>
      <c r="BF25" s="2">
        <v>280</v>
      </c>
      <c r="BG25" s="1">
        <f t="shared" si="5"/>
        <v>3.5851472471190782</v>
      </c>
      <c r="BH25" s="2">
        <v>155</v>
      </c>
      <c r="BI25" s="1">
        <f t="shared" si="6"/>
        <v>1.9846350832266326</v>
      </c>
      <c r="BJ25" s="2">
        <v>189</v>
      </c>
      <c r="BK25" s="1">
        <f t="shared" si="7"/>
        <v>2.4199743918053778</v>
      </c>
      <c r="BL25" s="2">
        <v>182</v>
      </c>
      <c r="BM25" s="1">
        <f t="shared" si="8"/>
        <v>2.3303457106274008</v>
      </c>
      <c r="BN25" s="2">
        <v>159</v>
      </c>
      <c r="BO25" s="1">
        <f t="shared" si="9"/>
        <v>2.0358514724711911</v>
      </c>
      <c r="BP25" s="2">
        <v>174</v>
      </c>
      <c r="BQ25" s="1">
        <f t="shared" si="10"/>
        <v>2.2279129321382842</v>
      </c>
      <c r="BR25" s="2">
        <v>160</v>
      </c>
      <c r="BS25" s="1">
        <f t="shared" si="11"/>
        <v>2.0486555697823303</v>
      </c>
      <c r="BT25" s="2">
        <v>215</v>
      </c>
      <c r="BU25" s="1">
        <f t="shared" si="12"/>
        <v>2.7528809218950068</v>
      </c>
      <c r="BV25" s="2">
        <v>159</v>
      </c>
      <c r="BW25" s="1">
        <f t="shared" si="27"/>
        <v>2.0358514724711911</v>
      </c>
      <c r="BX25" s="1">
        <f t="shared" si="14"/>
        <v>1.3870967741935485</v>
      </c>
      <c r="BY25" s="1">
        <f t="shared" si="18"/>
        <v>0.84126984126984128</v>
      </c>
    </row>
    <row r="26" spans="1:77" ht="14.25" customHeight="1">
      <c r="A26" s="5" t="s">
        <v>116</v>
      </c>
      <c r="B26" s="6">
        <v>25</v>
      </c>
      <c r="C26" s="10"/>
      <c r="D26" s="10" t="s">
        <v>93</v>
      </c>
      <c r="E26" s="10" t="s">
        <v>94</v>
      </c>
      <c r="F26" s="17">
        <v>39046</v>
      </c>
      <c r="G26" s="12" t="s">
        <v>81</v>
      </c>
      <c r="H26" s="13">
        <v>19</v>
      </c>
      <c r="I26" s="2">
        <v>70.5</v>
      </c>
      <c r="J26" s="2">
        <v>171</v>
      </c>
      <c r="K26" s="1"/>
      <c r="L26" s="1"/>
      <c r="M26" s="9" t="s">
        <v>166</v>
      </c>
      <c r="N26" s="2">
        <v>1165</v>
      </c>
      <c r="O26" s="2">
        <v>31.9</v>
      </c>
      <c r="P26" s="2">
        <v>33.200000000000003</v>
      </c>
      <c r="Q26" s="2">
        <v>6.3</v>
      </c>
      <c r="R26" s="2">
        <v>10.1</v>
      </c>
      <c r="S26" s="2">
        <v>9.6999999999999993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19"/>
        <v>56.2</v>
      </c>
      <c r="Z26" s="1">
        <f t="shared" si="20"/>
        <v>52.5</v>
      </c>
      <c r="AA26" s="1">
        <f t="shared" si="21"/>
        <v>1.0704761904761906</v>
      </c>
      <c r="AB26" s="2">
        <v>21</v>
      </c>
      <c r="AC26" s="2">
        <v>17</v>
      </c>
      <c r="AD26" s="2">
        <v>8</v>
      </c>
      <c r="AE26" s="2">
        <v>6</v>
      </c>
      <c r="AF26" s="2">
        <v>24</v>
      </c>
      <c r="AG26" s="1"/>
      <c r="AH26" s="1">
        <f t="shared" ref="AH26:AH28" si="28">AG26/I26</f>
        <v>0</v>
      </c>
      <c r="AI26" s="1"/>
      <c r="AJ26" s="1">
        <f t="shared" ref="AJ26:AJ28" si="29">AI26/I26</f>
        <v>0</v>
      </c>
      <c r="AK26" s="1"/>
      <c r="AL26" s="1"/>
      <c r="AM26" s="2">
        <v>42.4</v>
      </c>
      <c r="AN26" s="2">
        <v>1823.4</v>
      </c>
      <c r="AO26" s="2">
        <v>5762</v>
      </c>
      <c r="AP26" s="2">
        <v>2.66</v>
      </c>
      <c r="AQ26" s="2">
        <v>4782</v>
      </c>
      <c r="AR26" s="16">
        <v>11.8</v>
      </c>
      <c r="AS26" s="16">
        <v>15.9</v>
      </c>
      <c r="AT26" s="1"/>
      <c r="AU26" s="2">
        <v>16.5</v>
      </c>
      <c r="AV26" s="2">
        <v>212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6"/>
        <v>2.8851063829787233</v>
      </c>
      <c r="BF26" s="2">
        <v>161.69999999999999</v>
      </c>
      <c r="BG26" s="1">
        <f t="shared" si="5"/>
        <v>2.2936170212765954</v>
      </c>
      <c r="BH26" s="2">
        <v>191.7</v>
      </c>
      <c r="BI26" s="1">
        <f t="shared" si="6"/>
        <v>2.7191489361702126</v>
      </c>
      <c r="BJ26" s="2">
        <v>182.3</v>
      </c>
      <c r="BK26" s="1">
        <f t="shared" si="7"/>
        <v>2.5858156028368797</v>
      </c>
      <c r="BL26" s="2">
        <v>125.8</v>
      </c>
      <c r="BM26" s="1">
        <f t="shared" si="8"/>
        <v>1.7843971631205673</v>
      </c>
      <c r="BN26" s="2">
        <v>134.5</v>
      </c>
      <c r="BO26" s="1">
        <f t="shared" si="9"/>
        <v>1.9078014184397163</v>
      </c>
      <c r="BP26" s="2">
        <v>144.30000000000001</v>
      </c>
      <c r="BQ26" s="1">
        <f t="shared" si="10"/>
        <v>2.0468085106382978</v>
      </c>
      <c r="BR26" s="2">
        <v>146</v>
      </c>
      <c r="BS26" s="1">
        <f t="shared" si="11"/>
        <v>2.0709219858156027</v>
      </c>
      <c r="BT26" s="2">
        <v>175.3</v>
      </c>
      <c r="BU26" s="1">
        <f t="shared" si="12"/>
        <v>2.4865248226950358</v>
      </c>
      <c r="BV26" s="2">
        <v>214.8</v>
      </c>
      <c r="BW26" s="1">
        <f t="shared" si="27"/>
        <v>3.0468085106382978</v>
      </c>
      <c r="BX26" s="1">
        <f t="shared" si="14"/>
        <v>0.9144496609285343</v>
      </c>
      <c r="BY26" s="1">
        <f t="shared" si="18"/>
        <v>1.1782775644541963</v>
      </c>
    </row>
    <row r="27" spans="1:77" ht="14.25" customHeight="1">
      <c r="A27" s="13" t="s">
        <v>117</v>
      </c>
      <c r="B27" s="10">
        <v>94</v>
      </c>
      <c r="C27" s="6" t="s">
        <v>83</v>
      </c>
      <c r="D27" s="6" t="s">
        <v>100</v>
      </c>
      <c r="E27" s="6" t="s">
        <v>101</v>
      </c>
      <c r="F27" s="15">
        <v>38061</v>
      </c>
      <c r="G27" s="8" t="s">
        <v>81</v>
      </c>
      <c r="H27" s="5">
        <v>22</v>
      </c>
      <c r="I27" s="2">
        <v>93.8</v>
      </c>
      <c r="J27" s="2">
        <v>188.9</v>
      </c>
      <c r="K27" s="2">
        <v>66.5</v>
      </c>
      <c r="L27" s="1"/>
      <c r="M27" s="9" t="s">
        <v>166</v>
      </c>
      <c r="N27" s="2">
        <v>1340</v>
      </c>
      <c r="O27" s="2">
        <v>46.2</v>
      </c>
      <c r="P27" s="2">
        <v>38.700000000000003</v>
      </c>
      <c r="Q27" s="2">
        <v>9.1</v>
      </c>
      <c r="R27" s="2">
        <v>11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19"/>
        <v>59</v>
      </c>
      <c r="Z27" s="1">
        <f t="shared" si="20"/>
        <v>68</v>
      </c>
      <c r="AA27" s="1">
        <f t="shared" si="21"/>
        <v>0.86764705882352944</v>
      </c>
      <c r="AB27" s="2">
        <v>22</v>
      </c>
      <c r="AC27" s="2">
        <v>17</v>
      </c>
      <c r="AD27" s="2">
        <v>5</v>
      </c>
      <c r="AE27" s="2">
        <v>6</v>
      </c>
      <c r="AF27" s="2">
        <v>37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36.5</v>
      </c>
      <c r="AN27" s="2">
        <v>2228.3000000000002</v>
      </c>
      <c r="AO27" s="2">
        <v>12667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</v>
      </c>
      <c r="BE27" s="1">
        <f t="shared" si="16"/>
        <v>3.3368869936034118</v>
      </c>
      <c r="BF27" s="2">
        <v>297</v>
      </c>
      <c r="BG27" s="1">
        <f t="shared" si="5"/>
        <v>3.1663113006396588</v>
      </c>
      <c r="BH27" s="2">
        <v>198</v>
      </c>
      <c r="BI27" s="1">
        <f t="shared" si="6"/>
        <v>2.1108742004264394</v>
      </c>
      <c r="BJ27" s="2">
        <v>190</v>
      </c>
      <c r="BK27" s="1">
        <f t="shared" si="7"/>
        <v>2.0255863539445631</v>
      </c>
      <c r="BL27" s="2">
        <v>195</v>
      </c>
      <c r="BM27" s="1">
        <f t="shared" si="8"/>
        <v>2.0788912579957355</v>
      </c>
      <c r="BN27" s="2">
        <v>205</v>
      </c>
      <c r="BO27" s="1">
        <f t="shared" si="9"/>
        <v>2.1855010660980811</v>
      </c>
      <c r="BP27" s="2">
        <v>182</v>
      </c>
      <c r="BQ27" s="1">
        <f t="shared" si="10"/>
        <v>1.9402985074626866</v>
      </c>
      <c r="BR27" s="2">
        <v>177</v>
      </c>
      <c r="BS27" s="1">
        <f t="shared" si="11"/>
        <v>1.886993603411514</v>
      </c>
      <c r="BT27" s="2">
        <v>263</v>
      </c>
      <c r="BU27" s="1">
        <f t="shared" si="12"/>
        <v>2.8038379530916844</v>
      </c>
      <c r="BV27" s="2">
        <v>165</v>
      </c>
      <c r="BW27" s="1">
        <f t="shared" si="27"/>
        <v>1.7590618336886994</v>
      </c>
      <c r="BX27" s="1">
        <f t="shared" si="14"/>
        <v>1.3282828282828283</v>
      </c>
      <c r="BY27" s="1">
        <f t="shared" si="18"/>
        <v>0.86842105263157898</v>
      </c>
    </row>
    <row r="28" spans="1:77" ht="14.25" customHeight="1">
      <c r="A28" s="5" t="s">
        <v>119</v>
      </c>
      <c r="B28" s="6">
        <v>87</v>
      </c>
      <c r="C28" s="10" t="s">
        <v>83</v>
      </c>
      <c r="D28" s="10" t="s">
        <v>93</v>
      </c>
      <c r="E28" s="10" t="s">
        <v>94</v>
      </c>
      <c r="F28" s="17">
        <v>39041</v>
      </c>
      <c r="G28" s="12" t="s">
        <v>81</v>
      </c>
      <c r="H28" s="13">
        <v>19</v>
      </c>
      <c r="I28" s="2">
        <v>65.900000000000006</v>
      </c>
      <c r="J28" s="2">
        <v>177.5</v>
      </c>
      <c r="K28" s="2">
        <v>41.5</v>
      </c>
      <c r="L28" s="1"/>
      <c r="M28" s="9" t="s">
        <v>166</v>
      </c>
      <c r="N28" s="2">
        <v>938</v>
      </c>
      <c r="O28" s="2">
        <v>29.1</v>
      </c>
      <c r="P28" s="2">
        <v>33.799999999999997</v>
      </c>
      <c r="Q28" s="2">
        <v>3</v>
      </c>
      <c r="R28" s="2">
        <v>4.5999999999999996</v>
      </c>
      <c r="S28" s="2">
        <v>3.8</v>
      </c>
      <c r="T28" s="2">
        <v>5.0999999999999996</v>
      </c>
      <c r="U28" s="2">
        <v>9.1</v>
      </c>
      <c r="V28" s="2">
        <v>9.5</v>
      </c>
      <c r="W28" s="2">
        <v>17</v>
      </c>
      <c r="X28" s="2">
        <v>17.2</v>
      </c>
      <c r="Y28" s="1">
        <f t="shared" si="19"/>
        <v>18.600000000000001</v>
      </c>
      <c r="Z28" s="1">
        <f t="shared" si="20"/>
        <v>34.200000000000003</v>
      </c>
      <c r="AA28" s="1">
        <f t="shared" si="21"/>
        <v>0.54385964912280704</v>
      </c>
      <c r="AB28" s="2">
        <v>9</v>
      </c>
      <c r="AC28" s="2">
        <v>14</v>
      </c>
      <c r="AD28" s="2">
        <v>12.5</v>
      </c>
      <c r="AE28" s="2">
        <v>13</v>
      </c>
      <c r="AF28" s="2">
        <v>16</v>
      </c>
      <c r="AG28" s="1"/>
      <c r="AH28" s="1">
        <f t="shared" si="28"/>
        <v>0</v>
      </c>
      <c r="AI28" s="1"/>
      <c r="AJ28" s="1">
        <f t="shared" si="29"/>
        <v>0</v>
      </c>
      <c r="AK28" s="1"/>
      <c r="AL28" s="1"/>
      <c r="AM28" s="2">
        <v>44.4</v>
      </c>
      <c r="AN28" s="2">
        <v>1733</v>
      </c>
      <c r="AO28" s="2">
        <v>9814</v>
      </c>
      <c r="AP28" s="2">
        <v>1.98</v>
      </c>
      <c r="AQ28" s="2">
        <v>2679</v>
      </c>
      <c r="AR28" s="16">
        <v>12.6</v>
      </c>
      <c r="AS28" s="16">
        <v>15</v>
      </c>
      <c r="AT28" s="1"/>
      <c r="AU28" s="2">
        <v>16</v>
      </c>
      <c r="AV28" s="2">
        <v>211</v>
      </c>
      <c r="AW28" s="1"/>
      <c r="AX28" s="1"/>
      <c r="AY28" s="1"/>
      <c r="AZ28" s="1"/>
      <c r="BA28" s="1"/>
      <c r="BB28" s="1"/>
      <c r="BC28" s="1"/>
      <c r="BD28" s="2">
        <v>251</v>
      </c>
      <c r="BE28" s="1">
        <f t="shared" si="16"/>
        <v>3.8088012139605461</v>
      </c>
      <c r="BF28" s="2">
        <v>249</v>
      </c>
      <c r="BG28" s="1">
        <f t="shared" si="5"/>
        <v>3.7784522003034899</v>
      </c>
      <c r="BH28" s="2">
        <v>187</v>
      </c>
      <c r="BI28" s="1">
        <f t="shared" si="6"/>
        <v>2.8376327769347496</v>
      </c>
      <c r="BJ28" s="2">
        <v>196</v>
      </c>
      <c r="BK28" s="1">
        <f t="shared" si="7"/>
        <v>2.9742033383915021</v>
      </c>
      <c r="BL28" s="2">
        <v>160</v>
      </c>
      <c r="BM28" s="1">
        <f t="shared" si="8"/>
        <v>2.4279210925644916</v>
      </c>
      <c r="BN28" s="2">
        <v>170</v>
      </c>
      <c r="BO28" s="1">
        <f t="shared" si="9"/>
        <v>2.5796661608497722</v>
      </c>
      <c r="BP28" s="2">
        <v>141</v>
      </c>
      <c r="BQ28" s="1">
        <f t="shared" si="10"/>
        <v>2.1396054628224581</v>
      </c>
      <c r="BR28" s="2">
        <v>115</v>
      </c>
      <c r="BS28" s="1">
        <f t="shared" si="11"/>
        <v>1.7450682852807282</v>
      </c>
      <c r="BT28" s="2">
        <v>145</v>
      </c>
      <c r="BU28" s="1">
        <f t="shared" si="12"/>
        <v>2.2003034901365703</v>
      </c>
      <c r="BV28" s="2">
        <v>155</v>
      </c>
      <c r="BW28" s="1">
        <f t="shared" si="27"/>
        <v>2.3520485584218509</v>
      </c>
      <c r="BX28" s="1">
        <f t="shared" si="14"/>
        <v>0.77540106951871657</v>
      </c>
      <c r="BY28" s="1">
        <f t="shared" si="18"/>
        <v>0.79081632653061229</v>
      </c>
    </row>
    <row r="29" spans="1:77" ht="14.25" customHeight="1">
      <c r="A29" s="13" t="s">
        <v>120</v>
      </c>
      <c r="B29" s="10"/>
      <c r="C29" s="6" t="s">
        <v>83</v>
      </c>
      <c r="D29" s="6" t="s">
        <v>79</v>
      </c>
      <c r="E29" s="6" t="s">
        <v>80</v>
      </c>
      <c r="F29" s="15">
        <v>36986</v>
      </c>
      <c r="G29" s="8" t="s">
        <v>81</v>
      </c>
      <c r="H29" s="5">
        <v>25</v>
      </c>
      <c r="I29" s="1"/>
      <c r="J29" s="2"/>
      <c r="K29" s="1"/>
      <c r="L29" s="1"/>
      <c r="M29" s="9" t="s">
        <v>166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e">
        <f t="shared" si="16"/>
        <v>#DIV/0!</v>
      </c>
      <c r="BF29" s="2"/>
      <c r="BG29" s="1" t="e">
        <f t="shared" si="5"/>
        <v>#DIV/0!</v>
      </c>
      <c r="BH29" s="2"/>
      <c r="BI29" s="1" t="e">
        <f t="shared" si="6"/>
        <v>#DIV/0!</v>
      </c>
      <c r="BJ29" s="2"/>
      <c r="BK29" s="1" t="e">
        <f t="shared" si="7"/>
        <v>#DIV/0!</v>
      </c>
      <c r="BL29" s="2"/>
      <c r="BM29" s="1" t="e">
        <f t="shared" si="8"/>
        <v>#DIV/0!</v>
      </c>
      <c r="BN29" s="2"/>
      <c r="BO29" s="1" t="e">
        <f t="shared" si="9"/>
        <v>#DIV/0!</v>
      </c>
      <c r="BP29" s="2"/>
      <c r="BQ29" s="1" t="e">
        <f t="shared" si="10"/>
        <v>#DIV/0!</v>
      </c>
      <c r="BR29" s="2"/>
      <c r="BS29" s="1" t="e">
        <f t="shared" si="11"/>
        <v>#DIV/0!</v>
      </c>
      <c r="BT29" s="2"/>
      <c r="BU29" s="1" t="e">
        <f t="shared" si="12"/>
        <v>#DIV/0!</v>
      </c>
      <c r="BV29" s="2"/>
      <c r="BW29" s="1" t="e">
        <f>BV28/I29</f>
        <v>#DIV/0!</v>
      </c>
      <c r="BX29" s="1" t="e">
        <f t="shared" si="14"/>
        <v>#DIV/0!</v>
      </c>
      <c r="BY29" s="1" t="e">
        <f t="shared" si="18"/>
        <v>#DIV/0!</v>
      </c>
    </row>
    <row r="30" spans="1:77" ht="14.25" customHeight="1">
      <c r="A30" s="13" t="s">
        <v>121</v>
      </c>
      <c r="B30" s="10">
        <v>23</v>
      </c>
      <c r="C30" s="6" t="s">
        <v>83</v>
      </c>
      <c r="D30" s="6" t="s">
        <v>93</v>
      </c>
      <c r="E30" s="6" t="s">
        <v>97</v>
      </c>
      <c r="F30" s="15">
        <v>35162</v>
      </c>
      <c r="G30" s="8" t="s">
        <v>122</v>
      </c>
      <c r="H30" s="5">
        <v>30</v>
      </c>
      <c r="I30" s="1"/>
      <c r="J30" s="2">
        <v>181.5</v>
      </c>
      <c r="K30" s="1"/>
      <c r="L30" s="1"/>
      <c r="M30" s="9" t="s">
        <v>166</v>
      </c>
      <c r="N30" s="2">
        <v>1140</v>
      </c>
      <c r="O30" s="2">
        <v>35.1</v>
      </c>
      <c r="P30" s="2">
        <v>36.1</v>
      </c>
      <c r="Q30" s="2">
        <v>8.9</v>
      </c>
      <c r="R30" s="2">
        <v>7.7</v>
      </c>
      <c r="S30" s="2">
        <v>11</v>
      </c>
      <c r="T30" s="2">
        <v>9.3000000000000007</v>
      </c>
      <c r="U30" s="2">
        <v>19.600000000000001</v>
      </c>
      <c r="V30" s="2">
        <v>19.8</v>
      </c>
      <c r="W30" s="2">
        <v>24.1</v>
      </c>
      <c r="X30" s="2">
        <v>25.2</v>
      </c>
      <c r="Y30" s="1">
        <f t="shared" ref="Y30:Y68" si="30">U30+V30</f>
        <v>39.400000000000006</v>
      </c>
      <c r="Z30" s="1">
        <f t="shared" ref="Z30:Z68" si="31">W30+X30</f>
        <v>49.3</v>
      </c>
      <c r="AA30" s="1">
        <f t="shared" ref="AA30:AA68" si="32">Y30/Z30</f>
        <v>0.79918864097363096</v>
      </c>
      <c r="AB30" s="2">
        <v>20</v>
      </c>
      <c r="AC30" s="2">
        <v>20</v>
      </c>
      <c r="AD30" s="2">
        <v>13</v>
      </c>
      <c r="AE30" s="2">
        <v>13</v>
      </c>
      <c r="AF30" s="2">
        <v>30</v>
      </c>
      <c r="AG30" s="1"/>
      <c r="AH30" s="1" t="e">
        <f t="shared" ref="AH30:AH68" si="33">AG30/I30</f>
        <v>#DIV/0!</v>
      </c>
      <c r="AI30" s="1"/>
      <c r="AJ30" s="1" t="e">
        <f t="shared" ref="AJ30:AJ67" si="34">AI30/I30</f>
        <v>#DIV/0!</v>
      </c>
      <c r="AK30" s="1"/>
      <c r="AL30" s="1"/>
      <c r="AM30" s="2">
        <v>34.4</v>
      </c>
      <c r="AN30" s="2">
        <v>1912</v>
      </c>
      <c r="AO30" s="2">
        <v>15358</v>
      </c>
      <c r="AP30" s="2">
        <v>2.92</v>
      </c>
      <c r="AQ30" s="1"/>
      <c r="AR30" s="1"/>
      <c r="AS30" s="1"/>
      <c r="AT30" s="1"/>
      <c r="AU30" s="2">
        <v>17</v>
      </c>
      <c r="AV30" s="1"/>
      <c r="AW30" s="1"/>
      <c r="AX30" s="1"/>
      <c r="AY30" s="1"/>
      <c r="AZ30" s="1"/>
      <c r="BA30" s="1"/>
      <c r="BB30" s="1"/>
      <c r="BC30" s="1"/>
      <c r="BD30" s="2">
        <v>211</v>
      </c>
      <c r="BE30" s="1" t="e">
        <f t="shared" si="16"/>
        <v>#DIV/0!</v>
      </c>
      <c r="BF30" s="2">
        <v>250</v>
      </c>
      <c r="BG30" s="1" t="e">
        <f t="shared" si="5"/>
        <v>#DIV/0!</v>
      </c>
      <c r="BH30" s="2">
        <v>136</v>
      </c>
      <c r="BI30" s="1" t="e">
        <f t="shared" si="6"/>
        <v>#DIV/0!</v>
      </c>
      <c r="BJ30" s="2">
        <v>144</v>
      </c>
      <c r="BK30" s="1" t="e">
        <f t="shared" si="7"/>
        <v>#DIV/0!</v>
      </c>
      <c r="BL30" s="2">
        <v>130</v>
      </c>
      <c r="BM30" s="1" t="e">
        <f t="shared" si="8"/>
        <v>#DIV/0!</v>
      </c>
      <c r="BN30" s="2">
        <v>147</v>
      </c>
      <c r="BO30" s="1" t="e">
        <f t="shared" si="9"/>
        <v>#DIV/0!</v>
      </c>
      <c r="BP30" s="2">
        <v>92</v>
      </c>
      <c r="BQ30" s="1" t="e">
        <f t="shared" si="10"/>
        <v>#DIV/0!</v>
      </c>
      <c r="BR30" s="2">
        <v>114</v>
      </c>
      <c r="BS30" s="1" t="e">
        <f t="shared" si="11"/>
        <v>#DIV/0!</v>
      </c>
      <c r="BT30" s="2">
        <v>115</v>
      </c>
      <c r="BU30" s="1" t="e">
        <f t="shared" si="12"/>
        <v>#DIV/0!</v>
      </c>
      <c r="BV30" s="2">
        <v>158</v>
      </c>
      <c r="BW30" s="1" t="e">
        <f t="shared" ref="BW30:BW32" si="35">BV30/I30</f>
        <v>#DIV/0!</v>
      </c>
      <c r="BX30" s="1">
        <f t="shared" si="14"/>
        <v>0.84558823529411764</v>
      </c>
      <c r="BY30" s="1">
        <f t="shared" si="18"/>
        <v>1.0972222222222223</v>
      </c>
    </row>
    <row r="31" spans="1:77" ht="14.25" customHeight="1">
      <c r="A31" s="5" t="s">
        <v>123</v>
      </c>
      <c r="B31" s="6">
        <v>31</v>
      </c>
      <c r="C31" s="10" t="s">
        <v>83</v>
      </c>
      <c r="D31" s="10" t="s">
        <v>79</v>
      </c>
      <c r="E31" s="10" t="s">
        <v>80</v>
      </c>
      <c r="F31" s="11">
        <v>38420</v>
      </c>
      <c r="G31" s="12" t="s">
        <v>81</v>
      </c>
      <c r="H31" s="13">
        <v>21</v>
      </c>
      <c r="I31" s="1"/>
      <c r="J31" s="1"/>
      <c r="K31" s="1"/>
      <c r="L31" s="1"/>
      <c r="M31" s="9" t="s">
        <v>166</v>
      </c>
      <c r="N31" s="1"/>
      <c r="O31" s="2">
        <v>36</v>
      </c>
      <c r="P31" s="2">
        <v>36</v>
      </c>
      <c r="Q31" s="2">
        <v>10.5</v>
      </c>
      <c r="R31" s="2">
        <v>10.1</v>
      </c>
      <c r="S31" s="2">
        <v>9.6</v>
      </c>
      <c r="T31" s="2">
        <v>10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0"/>
        <v>60.3</v>
      </c>
      <c r="Z31" s="1">
        <f t="shared" si="31"/>
        <v>35.799999999999997</v>
      </c>
      <c r="AA31" s="1">
        <f t="shared" si="32"/>
        <v>1.6843575418994414</v>
      </c>
      <c r="AB31" s="2">
        <v>17</v>
      </c>
      <c r="AC31" s="2">
        <v>9</v>
      </c>
      <c r="AD31" s="2">
        <v>11</v>
      </c>
      <c r="AE31" s="2">
        <v>11</v>
      </c>
      <c r="AF31" s="2">
        <v>33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</v>
      </c>
      <c r="BE31" s="1" t="e">
        <f t="shared" si="16"/>
        <v>#DIV/0!</v>
      </c>
      <c r="BF31" s="2">
        <v>239</v>
      </c>
      <c r="BG31" s="1" t="e">
        <f t="shared" si="5"/>
        <v>#DIV/0!</v>
      </c>
      <c r="BH31" s="2">
        <v>197</v>
      </c>
      <c r="BI31" s="1" t="e">
        <f t="shared" si="6"/>
        <v>#DIV/0!</v>
      </c>
      <c r="BJ31" s="2">
        <v>205</v>
      </c>
      <c r="BK31" s="1" t="e">
        <f t="shared" si="7"/>
        <v>#DIV/0!</v>
      </c>
      <c r="BL31" s="2">
        <v>146</v>
      </c>
      <c r="BM31" s="1" t="e">
        <f t="shared" si="8"/>
        <v>#DIV/0!</v>
      </c>
      <c r="BN31" s="2">
        <v>140</v>
      </c>
      <c r="BO31" s="1" t="e">
        <f t="shared" si="9"/>
        <v>#DIV/0!</v>
      </c>
      <c r="BP31" s="2">
        <v>128</v>
      </c>
      <c r="BQ31" s="1" t="e">
        <f t="shared" si="10"/>
        <v>#DIV/0!</v>
      </c>
      <c r="BR31" s="2">
        <v>126</v>
      </c>
      <c r="BS31" s="1" t="e">
        <f t="shared" si="11"/>
        <v>#DIV/0!</v>
      </c>
      <c r="BT31" s="2">
        <v>153</v>
      </c>
      <c r="BU31" s="1" t="e">
        <f t="shared" si="12"/>
        <v>#DIV/0!</v>
      </c>
      <c r="BV31" s="2">
        <v>178</v>
      </c>
      <c r="BW31" s="1" t="e">
        <f t="shared" si="35"/>
        <v>#DIV/0!</v>
      </c>
      <c r="BX31" s="1">
        <f t="shared" si="14"/>
        <v>0.7766497461928934</v>
      </c>
      <c r="BY31" s="1">
        <f t="shared" si="18"/>
        <v>0.86829268292682926</v>
      </c>
    </row>
    <row r="32" spans="1:77" ht="14.25" customHeight="1">
      <c r="A32" s="13" t="s">
        <v>124</v>
      </c>
      <c r="B32" s="10">
        <v>14</v>
      </c>
      <c r="C32" s="6" t="s">
        <v>83</v>
      </c>
      <c r="D32" s="6" t="s">
        <v>84</v>
      </c>
      <c r="E32" s="6" t="s">
        <v>87</v>
      </c>
      <c r="F32" s="15">
        <v>37076</v>
      </c>
      <c r="G32" s="8" t="s">
        <v>122</v>
      </c>
      <c r="H32" s="5">
        <v>24</v>
      </c>
      <c r="I32" s="1"/>
      <c r="J32" s="2">
        <v>175</v>
      </c>
      <c r="K32" s="1"/>
      <c r="L32" s="1"/>
      <c r="M32" s="9" t="s">
        <v>166</v>
      </c>
      <c r="N32" s="1"/>
      <c r="O32" s="2">
        <v>43.3</v>
      </c>
      <c r="P32" s="2">
        <v>40.799999999999997</v>
      </c>
      <c r="Q32" s="2">
        <v>8.1</v>
      </c>
      <c r="R32" s="2">
        <v>7.3</v>
      </c>
      <c r="S32" s="2">
        <v>8.6999999999999993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0"/>
        <v>49.1</v>
      </c>
      <c r="Z32" s="1">
        <f t="shared" si="31"/>
        <v>46.9</v>
      </c>
      <c r="AA32" s="1">
        <f t="shared" si="32"/>
        <v>1.0469083155650321</v>
      </c>
      <c r="AB32" s="2">
        <v>20</v>
      </c>
      <c r="AC32" s="2">
        <v>16</v>
      </c>
      <c r="AD32" s="2">
        <v>11</v>
      </c>
      <c r="AE32" s="2">
        <v>11</v>
      </c>
      <c r="AF32" s="2">
        <v>35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40</v>
      </c>
      <c r="AN32" s="2">
        <v>2097</v>
      </c>
      <c r="AO32" s="2">
        <v>16107</v>
      </c>
      <c r="AP32" s="2">
        <v>2.88</v>
      </c>
      <c r="AQ32" s="1"/>
      <c r="AR32" s="1"/>
      <c r="AS32" s="1"/>
      <c r="AT32" s="1"/>
      <c r="AU32" s="2">
        <v>16</v>
      </c>
      <c r="AV32" s="1"/>
      <c r="AW32" s="1"/>
      <c r="AX32" s="1"/>
      <c r="AY32" s="1"/>
      <c r="AZ32" s="1"/>
      <c r="BA32" s="1"/>
      <c r="BB32" s="1"/>
      <c r="BC32" s="1"/>
      <c r="BD32" s="2">
        <v>215</v>
      </c>
      <c r="BE32" s="1" t="e">
        <f t="shared" si="16"/>
        <v>#DIV/0!</v>
      </c>
      <c r="BF32" s="2">
        <v>245</v>
      </c>
      <c r="BG32" s="1" t="e">
        <f t="shared" si="5"/>
        <v>#DIV/0!</v>
      </c>
      <c r="BH32" s="2">
        <v>158</v>
      </c>
      <c r="BI32" s="1" t="e">
        <f t="shared" si="6"/>
        <v>#DIV/0!</v>
      </c>
      <c r="BJ32" s="2">
        <v>181</v>
      </c>
      <c r="BK32" s="1" t="e">
        <f t="shared" si="7"/>
        <v>#DIV/0!</v>
      </c>
      <c r="BL32" s="2">
        <v>156</v>
      </c>
      <c r="BM32" s="1" t="e">
        <f t="shared" si="8"/>
        <v>#DIV/0!</v>
      </c>
      <c r="BN32" s="2">
        <v>172</v>
      </c>
      <c r="BO32" s="1" t="e">
        <f t="shared" si="9"/>
        <v>#DIV/0!</v>
      </c>
      <c r="BP32" s="2">
        <v>163</v>
      </c>
      <c r="BQ32" s="1" t="e">
        <f t="shared" si="10"/>
        <v>#DIV/0!</v>
      </c>
      <c r="BR32" s="2">
        <v>139</v>
      </c>
      <c r="BS32" s="1" t="e">
        <f t="shared" si="11"/>
        <v>#DIV/0!</v>
      </c>
      <c r="BT32" s="2">
        <v>201</v>
      </c>
      <c r="BU32" s="1" t="e">
        <f t="shared" si="12"/>
        <v>#DIV/0!</v>
      </c>
      <c r="BV32" s="2">
        <v>208</v>
      </c>
      <c r="BW32" s="1" t="e">
        <f t="shared" si="35"/>
        <v>#DIV/0!</v>
      </c>
      <c r="BX32" s="1">
        <f t="shared" si="14"/>
        <v>1.2721518987341771</v>
      </c>
      <c r="BY32" s="1">
        <f t="shared" si="18"/>
        <v>1.149171270718232</v>
      </c>
    </row>
    <row r="33" spans="1:77" ht="14.25" customHeight="1">
      <c r="A33" s="5" t="s">
        <v>125</v>
      </c>
      <c r="B33" s="6">
        <v>7</v>
      </c>
      <c r="C33" s="10" t="s">
        <v>83</v>
      </c>
      <c r="D33" s="10" t="s">
        <v>84</v>
      </c>
      <c r="E33" s="10" t="s">
        <v>87</v>
      </c>
      <c r="F33" s="11">
        <v>35169</v>
      </c>
      <c r="G33" s="12" t="s">
        <v>122</v>
      </c>
      <c r="H33" s="13">
        <v>30</v>
      </c>
      <c r="I33" s="1"/>
      <c r="J33" s="2">
        <v>170.6</v>
      </c>
      <c r="K33" s="1"/>
      <c r="L33" s="1"/>
      <c r="M33" s="9" t="s">
        <v>166</v>
      </c>
      <c r="N33" s="2">
        <v>1031</v>
      </c>
      <c r="O33" s="2">
        <v>17.3</v>
      </c>
      <c r="P33" s="2">
        <v>21.4</v>
      </c>
      <c r="Q33" s="2">
        <v>10.9</v>
      </c>
      <c r="R33" s="2">
        <v>8.6999999999999993</v>
      </c>
      <c r="S33" s="2">
        <v>9</v>
      </c>
      <c r="T33" s="2">
        <v>10.9</v>
      </c>
      <c r="U33" s="2">
        <v>17.899999999999999</v>
      </c>
      <c r="V33" s="2">
        <v>20.399999999999999</v>
      </c>
      <c r="W33" s="2">
        <v>25.1</v>
      </c>
      <c r="X33" s="2">
        <v>23.6</v>
      </c>
      <c r="Y33" s="1">
        <f t="shared" si="30"/>
        <v>38.299999999999997</v>
      </c>
      <c r="Z33" s="1">
        <f t="shared" si="31"/>
        <v>48.7</v>
      </c>
      <c r="AA33" s="1">
        <f t="shared" si="32"/>
        <v>0.78644763860369604</v>
      </c>
      <c r="AB33" s="2">
        <v>17</v>
      </c>
      <c r="AC33" s="2">
        <v>20</v>
      </c>
      <c r="AD33" s="2">
        <v>9</v>
      </c>
      <c r="AE33" s="2">
        <v>11</v>
      </c>
      <c r="AF33" s="2">
        <v>33.5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32.4</v>
      </c>
      <c r="AN33" s="2">
        <v>1807</v>
      </c>
      <c r="AO33" s="2">
        <v>9103</v>
      </c>
      <c r="AP33" s="2">
        <v>2.15</v>
      </c>
      <c r="AQ33" s="1"/>
      <c r="AR33" s="1"/>
      <c r="AS33" s="1"/>
      <c r="AT33" s="1"/>
      <c r="AU33" s="2">
        <v>18</v>
      </c>
      <c r="AV33" s="1"/>
      <c r="AW33" s="1"/>
      <c r="AX33" s="1"/>
      <c r="AY33" s="1"/>
      <c r="AZ33" s="1"/>
      <c r="BA33" s="1"/>
      <c r="BB33" s="1"/>
      <c r="BC33" s="1"/>
      <c r="BD33" s="2">
        <v>230</v>
      </c>
      <c r="BE33" s="1" t="e">
        <f t="shared" si="16"/>
        <v>#DIV/0!</v>
      </c>
      <c r="BF33" s="2">
        <v>145</v>
      </c>
      <c r="BG33" s="1" t="e">
        <f t="shared" si="5"/>
        <v>#DIV/0!</v>
      </c>
      <c r="BH33" s="2">
        <v>149</v>
      </c>
      <c r="BI33" s="1" t="e">
        <f t="shared" si="6"/>
        <v>#DIV/0!</v>
      </c>
      <c r="BJ33" s="2">
        <v>131</v>
      </c>
      <c r="BK33" s="1" t="e">
        <f t="shared" si="7"/>
        <v>#DIV/0!</v>
      </c>
      <c r="BL33" s="2">
        <v>108</v>
      </c>
      <c r="BM33" s="1" t="e">
        <f t="shared" si="8"/>
        <v>#DIV/0!</v>
      </c>
      <c r="BN33" s="2">
        <v>125</v>
      </c>
      <c r="BO33" s="1" t="e">
        <f t="shared" si="9"/>
        <v>#DIV/0!</v>
      </c>
      <c r="BP33" s="2">
        <v>84</v>
      </c>
      <c r="BQ33" s="1" t="e">
        <f t="shared" si="10"/>
        <v>#DIV/0!</v>
      </c>
      <c r="BR33" s="2">
        <v>125</v>
      </c>
      <c r="BS33" s="1" t="e">
        <f t="shared" si="11"/>
        <v>#DIV/0!</v>
      </c>
      <c r="BT33" s="2">
        <v>121</v>
      </c>
      <c r="BU33" s="1" t="e">
        <f t="shared" si="12"/>
        <v>#DIV/0!</v>
      </c>
      <c r="BV33" s="2">
        <v>123</v>
      </c>
      <c r="BW33" s="1" t="e">
        <f>BV32/I33</f>
        <v>#DIV/0!</v>
      </c>
      <c r="BX33" s="1">
        <f t="shared" si="14"/>
        <v>0.81208053691275173</v>
      </c>
      <c r="BY33" s="1">
        <f t="shared" si="18"/>
        <v>0.93893129770992367</v>
      </c>
    </row>
    <row r="34" spans="1:77" ht="14.25" customHeight="1">
      <c r="A34" s="13" t="s">
        <v>126</v>
      </c>
      <c r="B34" s="10">
        <v>11</v>
      </c>
      <c r="C34" s="6" t="s">
        <v>83</v>
      </c>
      <c r="D34" s="6" t="s">
        <v>84</v>
      </c>
      <c r="E34" s="6" t="s">
        <v>85</v>
      </c>
      <c r="F34" s="15">
        <v>36725</v>
      </c>
      <c r="G34" s="8" t="s">
        <v>122</v>
      </c>
      <c r="H34" s="5">
        <v>25</v>
      </c>
      <c r="I34" s="1">
        <v>80</v>
      </c>
      <c r="J34" s="2">
        <v>191.2</v>
      </c>
      <c r="K34" s="1"/>
      <c r="L34" s="1"/>
      <c r="M34" s="9" t="s">
        <v>166</v>
      </c>
      <c r="N34" s="2">
        <v>1452</v>
      </c>
      <c r="O34" s="2">
        <v>35.799999999999997</v>
      </c>
      <c r="P34" s="2">
        <v>37.1</v>
      </c>
      <c r="Q34" s="2">
        <v>9.1</v>
      </c>
      <c r="R34" s="2">
        <v>11.6</v>
      </c>
      <c r="S34" s="2">
        <v>8.5</v>
      </c>
      <c r="T34" s="2">
        <v>12</v>
      </c>
      <c r="U34" s="2">
        <v>22.8</v>
      </c>
      <c r="V34" s="2">
        <v>23</v>
      </c>
      <c r="W34" s="2">
        <v>26.8</v>
      </c>
      <c r="X34" s="2">
        <v>27.2</v>
      </c>
      <c r="Y34" s="1">
        <f t="shared" si="30"/>
        <v>45.8</v>
      </c>
      <c r="Z34" s="1">
        <f t="shared" si="31"/>
        <v>54</v>
      </c>
      <c r="AA34" s="1">
        <f t="shared" si="32"/>
        <v>0.8481481481481481</v>
      </c>
      <c r="AB34" s="2">
        <v>15</v>
      </c>
      <c r="AC34" s="2">
        <v>14</v>
      </c>
      <c r="AD34" s="2">
        <v>10</v>
      </c>
      <c r="AE34" s="2">
        <v>8</v>
      </c>
      <c r="AF34" s="2">
        <v>13.6</v>
      </c>
      <c r="AG34" s="1"/>
      <c r="AH34" s="1">
        <f t="shared" si="33"/>
        <v>0</v>
      </c>
      <c r="AI34" s="1"/>
      <c r="AJ34" s="1">
        <f t="shared" si="34"/>
        <v>0</v>
      </c>
      <c r="AK34" s="1"/>
      <c r="AL34" s="1"/>
      <c r="AM34" s="2">
        <v>49.3</v>
      </c>
      <c r="AN34" s="2">
        <v>2017</v>
      </c>
      <c r="AO34" s="2">
        <v>16054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</v>
      </c>
      <c r="BE34" s="1">
        <f t="shared" si="16"/>
        <v>2.95</v>
      </c>
      <c r="BF34" s="2">
        <v>216</v>
      </c>
      <c r="BG34" s="1">
        <f t="shared" si="5"/>
        <v>2.7</v>
      </c>
      <c r="BH34" s="2">
        <v>186</v>
      </c>
      <c r="BI34" s="1">
        <f t="shared" si="6"/>
        <v>2.3250000000000002</v>
      </c>
      <c r="BJ34" s="2">
        <v>199</v>
      </c>
      <c r="BK34" s="1">
        <f t="shared" si="7"/>
        <v>2.4874999999999998</v>
      </c>
      <c r="BL34" s="2">
        <v>158</v>
      </c>
      <c r="BM34" s="1">
        <f t="shared" si="8"/>
        <v>1.9750000000000001</v>
      </c>
      <c r="BN34" s="2">
        <v>186</v>
      </c>
      <c r="BO34" s="1">
        <f t="shared" si="9"/>
        <v>2.3250000000000002</v>
      </c>
      <c r="BP34" s="2">
        <v>170</v>
      </c>
      <c r="BQ34" s="1">
        <f t="shared" si="10"/>
        <v>2.125</v>
      </c>
      <c r="BR34" s="2">
        <v>178</v>
      </c>
      <c r="BS34" s="1">
        <f t="shared" si="11"/>
        <v>2.2250000000000001</v>
      </c>
      <c r="BT34" s="2">
        <v>188</v>
      </c>
      <c r="BU34" s="1">
        <f t="shared" si="12"/>
        <v>2.35</v>
      </c>
      <c r="BV34" s="2">
        <v>232</v>
      </c>
      <c r="BW34" s="1">
        <f t="shared" ref="BW34:BW42" si="36">BV34/I34</f>
        <v>2.9</v>
      </c>
      <c r="BX34" s="1">
        <f t="shared" si="14"/>
        <v>1.010752688172043</v>
      </c>
      <c r="BY34" s="1">
        <f t="shared" si="18"/>
        <v>1.1658291457286432</v>
      </c>
    </row>
    <row r="35" spans="1:77" ht="14.25" customHeight="1">
      <c r="A35" s="5" t="s">
        <v>127</v>
      </c>
      <c r="B35" s="6">
        <v>74</v>
      </c>
      <c r="C35" s="10" t="s">
        <v>83</v>
      </c>
      <c r="D35" s="10" t="s">
        <v>84</v>
      </c>
      <c r="E35" s="10" t="s">
        <v>85</v>
      </c>
      <c r="F35" s="17">
        <v>38702</v>
      </c>
      <c r="G35" s="12" t="s">
        <v>122</v>
      </c>
      <c r="H35" s="18">
        <v>20</v>
      </c>
      <c r="I35" s="1"/>
      <c r="J35" s="2">
        <v>186.2</v>
      </c>
      <c r="K35" s="1"/>
      <c r="L35" s="1"/>
      <c r="M35" s="9" t="s">
        <v>166</v>
      </c>
      <c r="N35" s="2">
        <v>1391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</v>
      </c>
      <c r="W35" s="2">
        <v>19.8</v>
      </c>
      <c r="X35" s="2">
        <v>19.399999999999999</v>
      </c>
      <c r="Y35" s="1">
        <f t="shared" si="30"/>
        <v>46.9</v>
      </c>
      <c r="Z35" s="1">
        <f t="shared" si="31"/>
        <v>39.200000000000003</v>
      </c>
      <c r="AA35" s="1">
        <f t="shared" si="32"/>
        <v>1.1964285714285714</v>
      </c>
      <c r="AB35" s="2">
        <v>18</v>
      </c>
      <c r="AC35" s="2">
        <v>22</v>
      </c>
      <c r="AD35" s="2">
        <v>17</v>
      </c>
      <c r="AE35" s="2">
        <v>13</v>
      </c>
      <c r="AF35" s="2">
        <v>29.5</v>
      </c>
      <c r="AG35" s="1"/>
      <c r="AH35" s="1" t="e">
        <f t="shared" si="33"/>
        <v>#DIV/0!</v>
      </c>
      <c r="AI35" s="1"/>
      <c r="AJ35" s="1" t="e">
        <f t="shared" si="34"/>
        <v>#DIV/0!</v>
      </c>
      <c r="AK35" s="1"/>
      <c r="AL35" s="1"/>
      <c r="AM35" s="2">
        <v>40.200000000000003</v>
      </c>
      <c r="AN35" s="2">
        <v>1890</v>
      </c>
      <c r="AO35" s="2">
        <v>7452</v>
      </c>
      <c r="AP35" s="2">
        <v>1.96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271</v>
      </c>
      <c r="BE35" s="1" t="e">
        <f t="shared" si="16"/>
        <v>#DIV/0!</v>
      </c>
      <c r="BF35" s="2">
        <v>258</v>
      </c>
      <c r="BG35" s="1" t="e">
        <f t="shared" si="5"/>
        <v>#DIV/0!</v>
      </c>
      <c r="BH35" s="2">
        <v>180</v>
      </c>
      <c r="BI35" s="1" t="e">
        <f t="shared" si="6"/>
        <v>#DIV/0!</v>
      </c>
      <c r="BJ35" s="2">
        <v>180</v>
      </c>
      <c r="BK35" s="1" t="e">
        <f t="shared" si="7"/>
        <v>#DIV/0!</v>
      </c>
      <c r="BL35" s="2">
        <v>133</v>
      </c>
      <c r="BM35" s="1" t="e">
        <f t="shared" si="8"/>
        <v>#DIV/0!</v>
      </c>
      <c r="BN35" s="2">
        <v>124</v>
      </c>
      <c r="BO35" s="1" t="e">
        <f t="shared" si="9"/>
        <v>#DIV/0!</v>
      </c>
      <c r="BP35" s="2">
        <v>108</v>
      </c>
      <c r="BQ35" s="1" t="e">
        <f t="shared" si="10"/>
        <v>#DIV/0!</v>
      </c>
      <c r="BR35" s="2">
        <v>124</v>
      </c>
      <c r="BS35" s="1" t="e">
        <f t="shared" si="11"/>
        <v>#DIV/0!</v>
      </c>
      <c r="BT35" s="2">
        <v>200</v>
      </c>
      <c r="BU35" s="1" t="e">
        <f t="shared" si="12"/>
        <v>#DIV/0!</v>
      </c>
      <c r="BV35" s="2">
        <v>181</v>
      </c>
      <c r="BW35" s="1" t="e">
        <f t="shared" si="36"/>
        <v>#DIV/0!</v>
      </c>
      <c r="BX35" s="1">
        <f t="shared" si="14"/>
        <v>1.1111111111111112</v>
      </c>
      <c r="BY35" s="1">
        <f t="shared" si="18"/>
        <v>1.0055555555555555</v>
      </c>
    </row>
    <row r="36" spans="1:77" ht="14.25" customHeight="1">
      <c r="A36" s="19" t="s">
        <v>128</v>
      </c>
      <c r="B36" s="2">
        <v>80</v>
      </c>
      <c r="C36" s="2" t="s">
        <v>83</v>
      </c>
      <c r="D36" s="10" t="s">
        <v>100</v>
      </c>
      <c r="E36" s="2" t="s">
        <v>101</v>
      </c>
      <c r="F36" s="9">
        <v>39161</v>
      </c>
      <c r="G36" s="8" t="s">
        <v>122</v>
      </c>
      <c r="H36" s="14">
        <v>19</v>
      </c>
      <c r="I36" s="2">
        <v>74.5</v>
      </c>
      <c r="J36" s="2">
        <v>192.8</v>
      </c>
      <c r="K36" s="1"/>
      <c r="L36" s="1"/>
      <c r="M36" s="9" t="s">
        <v>166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10.199999999999999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0"/>
        <v>56</v>
      </c>
      <c r="Z36" s="1">
        <f t="shared" si="31"/>
        <v>31.8</v>
      </c>
      <c r="AA36" s="1">
        <f t="shared" si="32"/>
        <v>1.7610062893081762</v>
      </c>
      <c r="AB36" s="2">
        <v>14</v>
      </c>
      <c r="AC36" s="2">
        <v>17</v>
      </c>
      <c r="AD36" s="2">
        <v>7</v>
      </c>
      <c r="AE36" s="2">
        <v>7</v>
      </c>
      <c r="AF36" s="2">
        <v>24</v>
      </c>
      <c r="AG36" s="1"/>
      <c r="AH36" s="1">
        <f t="shared" si="33"/>
        <v>0</v>
      </c>
      <c r="AI36" s="1"/>
      <c r="AJ36" s="1">
        <f t="shared" si="34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6"/>
        <v>3.3543624161073828</v>
      </c>
      <c r="BF36" s="2">
        <v>246.4</v>
      </c>
      <c r="BG36" s="1">
        <f t="shared" si="5"/>
        <v>3.3073825503355705</v>
      </c>
      <c r="BH36" s="2">
        <v>175</v>
      </c>
      <c r="BI36" s="1">
        <f t="shared" si="6"/>
        <v>2.348993288590604</v>
      </c>
      <c r="BJ36" s="2">
        <v>186</v>
      </c>
      <c r="BK36" s="1">
        <f t="shared" si="7"/>
        <v>2.4966442953020134</v>
      </c>
      <c r="BL36" s="2">
        <v>137.1</v>
      </c>
      <c r="BM36" s="1">
        <f t="shared" si="8"/>
        <v>1.8402684563758389</v>
      </c>
      <c r="BN36" s="2">
        <v>125</v>
      </c>
      <c r="BO36" s="1">
        <f t="shared" si="9"/>
        <v>1.6778523489932886</v>
      </c>
      <c r="BP36" s="2">
        <v>143</v>
      </c>
      <c r="BQ36" s="1">
        <f t="shared" si="10"/>
        <v>1.919463087248322</v>
      </c>
      <c r="BR36" s="2">
        <v>87</v>
      </c>
      <c r="BS36" s="1">
        <f t="shared" si="11"/>
        <v>1.1677852348993289</v>
      </c>
      <c r="BT36" s="2">
        <v>168</v>
      </c>
      <c r="BU36" s="1">
        <f t="shared" si="12"/>
        <v>2.2550335570469797</v>
      </c>
      <c r="BV36" s="2">
        <v>164</v>
      </c>
      <c r="BW36" s="1">
        <f t="shared" si="36"/>
        <v>2.2013422818791946</v>
      </c>
      <c r="BX36" s="1">
        <f t="shared" si="14"/>
        <v>0.96</v>
      </c>
      <c r="BY36" s="1">
        <f t="shared" si="18"/>
        <v>0.88172043010752688</v>
      </c>
    </row>
    <row r="37" spans="1:77" ht="14.25" customHeight="1">
      <c r="A37" s="19" t="s">
        <v>129</v>
      </c>
      <c r="B37" s="2">
        <v>61</v>
      </c>
      <c r="C37" s="2" t="s">
        <v>83</v>
      </c>
      <c r="D37" s="6" t="s">
        <v>93</v>
      </c>
      <c r="E37" s="2" t="s">
        <v>106</v>
      </c>
      <c r="F37" s="9">
        <v>38689</v>
      </c>
      <c r="G37" s="12" t="s">
        <v>122</v>
      </c>
      <c r="H37" s="20">
        <v>20</v>
      </c>
      <c r="I37" s="2">
        <v>78.7</v>
      </c>
      <c r="J37" s="1"/>
      <c r="K37" s="1"/>
      <c r="L37" s="1"/>
      <c r="M37" s="9" t="s">
        <v>166</v>
      </c>
      <c r="N37" s="2">
        <v>1280</v>
      </c>
      <c r="O37" s="2">
        <v>32.9</v>
      </c>
      <c r="P37" s="2">
        <v>32.700000000000003</v>
      </c>
      <c r="Q37" s="2">
        <v>14</v>
      </c>
      <c r="R37" s="2">
        <v>15.8</v>
      </c>
      <c r="S37" s="2">
        <v>11.8</v>
      </c>
      <c r="T37" s="2">
        <v>14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0"/>
        <v>53.8</v>
      </c>
      <c r="Z37" s="1">
        <f t="shared" si="31"/>
        <v>47.7</v>
      </c>
      <c r="AA37" s="1">
        <f t="shared" si="32"/>
        <v>1.1278825995807127</v>
      </c>
      <c r="AB37" s="2">
        <v>13</v>
      </c>
      <c r="AC37" s="2">
        <v>17</v>
      </c>
      <c r="AD37" s="2">
        <v>17</v>
      </c>
      <c r="AE37" s="2">
        <v>16</v>
      </c>
      <c r="AF37" s="2">
        <v>18</v>
      </c>
      <c r="AG37" s="2">
        <v>193</v>
      </c>
      <c r="AH37" s="1">
        <f t="shared" si="33"/>
        <v>2.4523506988564168</v>
      </c>
      <c r="AI37" s="1"/>
      <c r="AJ37" s="1">
        <f t="shared" si="34"/>
        <v>0</v>
      </c>
      <c r="AK37" s="1"/>
      <c r="AL37" s="1"/>
      <c r="AM37" s="2">
        <v>34.299999999999997</v>
      </c>
      <c r="AN37" s="2">
        <v>2026</v>
      </c>
      <c r="AO37" s="2">
        <v>20384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</v>
      </c>
      <c r="BE37" s="1">
        <f t="shared" si="16"/>
        <v>3.4815756035578143</v>
      </c>
      <c r="BF37" s="2">
        <v>276</v>
      </c>
      <c r="BG37" s="1">
        <f t="shared" si="5"/>
        <v>3.5069885641677252</v>
      </c>
      <c r="BH37" s="2">
        <v>185</v>
      </c>
      <c r="BI37" s="1">
        <f t="shared" si="6"/>
        <v>2.3506988564167726</v>
      </c>
      <c r="BJ37" s="2">
        <v>167</v>
      </c>
      <c r="BK37" s="1">
        <f t="shared" si="7"/>
        <v>2.1219822109275728</v>
      </c>
      <c r="BL37" s="2">
        <v>162</v>
      </c>
      <c r="BM37" s="1">
        <f t="shared" si="8"/>
        <v>2.0584498094027954</v>
      </c>
      <c r="BN37" s="2">
        <v>180</v>
      </c>
      <c r="BO37" s="1">
        <f t="shared" si="9"/>
        <v>2.2871664548919948</v>
      </c>
      <c r="BP37" s="2">
        <v>150</v>
      </c>
      <c r="BQ37" s="1">
        <f t="shared" si="10"/>
        <v>1.9059720457433291</v>
      </c>
      <c r="BR37" s="2">
        <v>186</v>
      </c>
      <c r="BS37" s="1">
        <f t="shared" si="11"/>
        <v>2.363405336721728</v>
      </c>
      <c r="BT37" s="2">
        <v>184</v>
      </c>
      <c r="BU37" s="1">
        <f t="shared" si="12"/>
        <v>2.3379923761118171</v>
      </c>
      <c r="BV37" s="2">
        <v>247</v>
      </c>
      <c r="BW37" s="1">
        <f t="shared" si="36"/>
        <v>3.1385006353240152</v>
      </c>
      <c r="BX37" s="1">
        <f t="shared" si="14"/>
        <v>0.99459459459459465</v>
      </c>
      <c r="BY37" s="1">
        <f t="shared" si="18"/>
        <v>1.4790419161676647</v>
      </c>
    </row>
    <row r="38" spans="1:77" ht="14.25" customHeight="1">
      <c r="A38" s="19" t="s">
        <v>130</v>
      </c>
      <c r="B38" s="2">
        <v>77</v>
      </c>
      <c r="C38" s="2" t="s">
        <v>83</v>
      </c>
      <c r="D38" s="10" t="s">
        <v>84</v>
      </c>
      <c r="E38" s="2" t="s">
        <v>131</v>
      </c>
      <c r="F38" s="21">
        <v>39013</v>
      </c>
      <c r="G38" s="8" t="s">
        <v>122</v>
      </c>
      <c r="H38" s="12">
        <v>19</v>
      </c>
      <c r="I38" s="2">
        <v>76.599999999999994</v>
      </c>
      <c r="J38" s="2">
        <v>188.4</v>
      </c>
      <c r="K38" s="1"/>
      <c r="L38" s="1"/>
      <c r="M38" s="9" t="s">
        <v>166</v>
      </c>
      <c r="N38" s="2">
        <v>1282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0"/>
        <v>61.9</v>
      </c>
      <c r="Z38" s="1">
        <f t="shared" si="31"/>
        <v>49.6</v>
      </c>
      <c r="AA38" s="1">
        <f t="shared" si="32"/>
        <v>1.2479838709677418</v>
      </c>
      <c r="AB38" s="2">
        <v>14</v>
      </c>
      <c r="AC38" s="2">
        <v>17</v>
      </c>
      <c r="AD38" s="2">
        <v>11</v>
      </c>
      <c r="AE38" s="2">
        <v>11.5</v>
      </c>
      <c r="AF38" s="2">
        <v>24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34.4</v>
      </c>
      <c r="AN38" s="2">
        <v>1946.5</v>
      </c>
      <c r="AO38" s="2">
        <v>14319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</v>
      </c>
      <c r="BE38" s="1">
        <f t="shared" si="16"/>
        <v>3.1984334203655354</v>
      </c>
      <c r="BF38" s="2">
        <v>225</v>
      </c>
      <c r="BG38" s="1">
        <f t="shared" si="5"/>
        <v>2.9373368146214101</v>
      </c>
      <c r="BH38" s="2">
        <v>151</v>
      </c>
      <c r="BI38" s="1">
        <f t="shared" si="6"/>
        <v>1.9712793733681464</v>
      </c>
      <c r="BJ38" s="2">
        <v>148</v>
      </c>
      <c r="BK38" s="1">
        <f t="shared" si="7"/>
        <v>1.9321148825065275</v>
      </c>
      <c r="BL38" s="2">
        <v>125</v>
      </c>
      <c r="BM38" s="1">
        <f t="shared" si="8"/>
        <v>1.6318537859007833</v>
      </c>
      <c r="BN38" s="2">
        <v>142</v>
      </c>
      <c r="BO38" s="1">
        <f t="shared" si="9"/>
        <v>1.85378590078329</v>
      </c>
      <c r="BP38" s="2">
        <v>169</v>
      </c>
      <c r="BQ38" s="1">
        <f t="shared" si="10"/>
        <v>2.206266318537859</v>
      </c>
      <c r="BR38" s="2">
        <v>179</v>
      </c>
      <c r="BS38" s="1">
        <f t="shared" si="11"/>
        <v>2.3368146214099217</v>
      </c>
      <c r="BT38" s="1"/>
      <c r="BU38" s="1">
        <f t="shared" si="12"/>
        <v>0</v>
      </c>
      <c r="BV38" s="1"/>
      <c r="BW38" s="1">
        <f t="shared" si="36"/>
        <v>0</v>
      </c>
      <c r="BX38" s="1">
        <f t="shared" si="14"/>
        <v>0</v>
      </c>
      <c r="BY38" s="1">
        <f t="shared" si="18"/>
        <v>0</v>
      </c>
    </row>
    <row r="39" spans="1:77" ht="14.25" customHeight="1">
      <c r="A39" s="22" t="s">
        <v>132</v>
      </c>
      <c r="B39" s="2">
        <v>63</v>
      </c>
      <c r="C39" s="2" t="s">
        <v>83</v>
      </c>
      <c r="D39" s="10" t="s">
        <v>79</v>
      </c>
      <c r="E39" s="2" t="s">
        <v>104</v>
      </c>
      <c r="F39" s="21">
        <v>37600</v>
      </c>
      <c r="G39" s="12" t="s">
        <v>122</v>
      </c>
      <c r="H39" s="20">
        <v>23</v>
      </c>
      <c r="I39" s="2">
        <v>93</v>
      </c>
      <c r="J39" s="2">
        <v>190.5</v>
      </c>
      <c r="K39" s="1"/>
      <c r="L39" s="1"/>
      <c r="M39" s="9" t="s">
        <v>166</v>
      </c>
      <c r="N39" s="2">
        <v>1351</v>
      </c>
      <c r="O39" s="2">
        <v>44.8</v>
      </c>
      <c r="P39" s="2">
        <v>42.6</v>
      </c>
      <c r="Q39" s="2">
        <v>11</v>
      </c>
      <c r="R39" s="2">
        <v>9.6</v>
      </c>
      <c r="S39" s="2">
        <v>13.5</v>
      </c>
      <c r="T39" s="2">
        <v>12.3</v>
      </c>
      <c r="U39" s="2">
        <v>22.2</v>
      </c>
      <c r="V39" s="2">
        <v>21</v>
      </c>
      <c r="W39" s="2">
        <v>24.6</v>
      </c>
      <c r="X39" s="2">
        <v>26.6</v>
      </c>
      <c r="Y39" s="1">
        <f t="shared" si="30"/>
        <v>43.2</v>
      </c>
      <c r="Z39" s="1">
        <f t="shared" si="31"/>
        <v>51.2</v>
      </c>
      <c r="AA39" s="1">
        <f t="shared" si="32"/>
        <v>0.84375</v>
      </c>
      <c r="AB39" s="2">
        <v>16</v>
      </c>
      <c r="AC39" s="2">
        <v>20</v>
      </c>
      <c r="AD39" s="2">
        <v>6</v>
      </c>
      <c r="AE39" s="2">
        <v>5</v>
      </c>
      <c r="AF39" s="2">
        <v>2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39.5</v>
      </c>
      <c r="AN39" s="2">
        <v>2576</v>
      </c>
      <c r="AO39" s="2">
        <v>20548</v>
      </c>
      <c r="AP39" s="2">
        <v>3.03</v>
      </c>
      <c r="AQ39" s="1"/>
      <c r="AR39" s="1"/>
      <c r="AS39" s="1"/>
      <c r="AT39" s="1"/>
      <c r="AU39" s="2">
        <v>16</v>
      </c>
      <c r="AV39" s="1"/>
      <c r="AW39" s="1"/>
      <c r="AX39" s="1"/>
      <c r="AY39" s="1"/>
      <c r="AZ39" s="1"/>
      <c r="BA39" s="1"/>
      <c r="BB39" s="1"/>
      <c r="BC39" s="1"/>
      <c r="BD39" s="2">
        <v>290</v>
      </c>
      <c r="BE39" s="1">
        <f t="shared" si="16"/>
        <v>3.118279569892473</v>
      </c>
      <c r="BF39" s="2">
        <v>209</v>
      </c>
      <c r="BG39" s="1">
        <f t="shared" si="5"/>
        <v>2.247311827956989</v>
      </c>
      <c r="BH39" s="2">
        <v>228</v>
      </c>
      <c r="BI39" s="1">
        <f t="shared" si="6"/>
        <v>2.4516129032258065</v>
      </c>
      <c r="BJ39" s="2">
        <v>206</v>
      </c>
      <c r="BK39" s="1">
        <f t="shared" si="7"/>
        <v>2.21505376344086</v>
      </c>
      <c r="BL39" s="2">
        <v>143</v>
      </c>
      <c r="BM39" s="1">
        <f t="shared" si="8"/>
        <v>1.5376344086021505</v>
      </c>
      <c r="BN39" s="2">
        <v>142</v>
      </c>
      <c r="BO39" s="1">
        <f t="shared" si="9"/>
        <v>1.5268817204301075</v>
      </c>
      <c r="BP39" s="2">
        <v>208</v>
      </c>
      <c r="BQ39" s="1">
        <f t="shared" si="10"/>
        <v>2.236559139784946</v>
      </c>
      <c r="BR39" s="2">
        <v>143</v>
      </c>
      <c r="BS39" s="1">
        <f t="shared" si="11"/>
        <v>1.5376344086021505</v>
      </c>
      <c r="BT39" s="2">
        <v>186</v>
      </c>
      <c r="BU39" s="1">
        <f t="shared" si="12"/>
        <v>2</v>
      </c>
      <c r="BV39" s="2">
        <v>171</v>
      </c>
      <c r="BW39" s="1">
        <f t="shared" si="36"/>
        <v>1.8387096774193548</v>
      </c>
      <c r="BX39" s="1">
        <f t="shared" si="14"/>
        <v>0.81578947368421051</v>
      </c>
      <c r="BY39" s="1">
        <f t="shared" si="18"/>
        <v>0.83009708737864074</v>
      </c>
    </row>
    <row r="40" spans="1:77" ht="14.25" customHeight="1">
      <c r="A40" s="23" t="s">
        <v>133</v>
      </c>
      <c r="B40" s="2">
        <v>66</v>
      </c>
      <c r="C40" s="2" t="s">
        <v>83</v>
      </c>
      <c r="D40" s="10" t="s">
        <v>79</v>
      </c>
      <c r="E40" s="2" t="s">
        <v>104</v>
      </c>
      <c r="F40" s="9">
        <v>39083</v>
      </c>
      <c r="G40" s="8" t="s">
        <v>122</v>
      </c>
      <c r="H40" s="14">
        <v>19</v>
      </c>
      <c r="I40" s="2">
        <v>81.400000000000006</v>
      </c>
      <c r="J40" s="2">
        <v>186.5</v>
      </c>
      <c r="K40" s="1"/>
      <c r="L40" s="1"/>
      <c r="M40" s="9" t="s">
        <v>166</v>
      </c>
      <c r="N40" s="2">
        <v>1216</v>
      </c>
      <c r="O40" s="2">
        <v>40.1</v>
      </c>
      <c r="P40" s="2">
        <v>41.9</v>
      </c>
      <c r="Q40" s="2">
        <v>9.1999999999999993</v>
      </c>
      <c r="R40" s="2">
        <v>11.6</v>
      </c>
      <c r="S40" s="2">
        <v>14.8</v>
      </c>
      <c r="T40" s="2">
        <v>13.1</v>
      </c>
      <c r="U40" s="2"/>
      <c r="V40" s="1"/>
      <c r="W40" s="2">
        <v>20</v>
      </c>
      <c r="X40" s="2">
        <v>21</v>
      </c>
      <c r="Y40" s="1">
        <f t="shared" si="30"/>
        <v>0</v>
      </c>
      <c r="Z40" s="1">
        <f t="shared" si="31"/>
        <v>41</v>
      </c>
      <c r="AA40" s="1">
        <f t="shared" si="32"/>
        <v>0</v>
      </c>
      <c r="AB40" s="2">
        <v>16</v>
      </c>
      <c r="AC40" s="2">
        <v>16</v>
      </c>
      <c r="AD40" s="2">
        <v>10</v>
      </c>
      <c r="AE40" s="2">
        <v>9</v>
      </c>
      <c r="AF40" s="2">
        <v>18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38.6</v>
      </c>
      <c r="AN40" s="2">
        <v>2056</v>
      </c>
      <c r="AO40" s="2">
        <v>10880</v>
      </c>
      <c r="AP40" s="2">
        <v>2.78</v>
      </c>
      <c r="AQ40" s="1"/>
      <c r="AR40" s="1"/>
      <c r="AS40" s="1"/>
      <c r="AT40" s="1"/>
      <c r="AU40" s="2">
        <v>17</v>
      </c>
      <c r="AV40" s="1"/>
      <c r="AW40" s="1"/>
      <c r="AX40" s="1"/>
      <c r="AY40" s="1"/>
      <c r="AZ40" s="1"/>
      <c r="BA40" s="1"/>
      <c r="BB40" s="1"/>
      <c r="BC40" s="1"/>
      <c r="BD40" s="2">
        <v>339</v>
      </c>
      <c r="BE40" s="1">
        <f t="shared" si="16"/>
        <v>4.1646191646191646</v>
      </c>
      <c r="BF40" s="2">
        <v>316</v>
      </c>
      <c r="BG40" s="1">
        <f t="shared" si="5"/>
        <v>3.882063882063882</v>
      </c>
      <c r="BH40" s="2">
        <v>203</v>
      </c>
      <c r="BI40" s="1">
        <f t="shared" si="6"/>
        <v>2.4938574938574938</v>
      </c>
      <c r="BJ40" s="2">
        <v>195</v>
      </c>
      <c r="BK40" s="1">
        <f t="shared" si="7"/>
        <v>2.3955773955773956</v>
      </c>
      <c r="BL40" s="2">
        <v>184</v>
      </c>
      <c r="BM40" s="1">
        <f t="shared" si="8"/>
        <v>2.2604422604422605</v>
      </c>
      <c r="BN40" s="2">
        <v>143</v>
      </c>
      <c r="BO40" s="1">
        <f t="shared" si="9"/>
        <v>1.7567567567567566</v>
      </c>
      <c r="BP40" s="2">
        <v>127</v>
      </c>
      <c r="BQ40" s="1">
        <f t="shared" si="10"/>
        <v>1.5601965601965602</v>
      </c>
      <c r="BR40" s="2">
        <v>131</v>
      </c>
      <c r="BS40" s="1">
        <f t="shared" si="11"/>
        <v>1.6093366093366093</v>
      </c>
      <c r="BT40" s="2">
        <v>198</v>
      </c>
      <c r="BU40" s="1">
        <f t="shared" si="12"/>
        <v>2.4324324324324325</v>
      </c>
      <c r="BV40" s="2">
        <v>206</v>
      </c>
      <c r="BW40" s="1">
        <f t="shared" si="36"/>
        <v>2.5307125307125307</v>
      </c>
      <c r="BX40" s="1">
        <f t="shared" si="14"/>
        <v>0.97536945812807885</v>
      </c>
      <c r="BY40" s="1">
        <f t="shared" si="18"/>
        <v>1.0564102564102564</v>
      </c>
    </row>
    <row r="41" spans="1:77" ht="14.25" customHeight="1">
      <c r="A41" s="22" t="s">
        <v>134</v>
      </c>
      <c r="B41" s="2">
        <v>79</v>
      </c>
      <c r="C41" s="2" t="s">
        <v>83</v>
      </c>
      <c r="D41" s="6" t="s">
        <v>93</v>
      </c>
      <c r="E41" s="2" t="s">
        <v>97</v>
      </c>
      <c r="F41" s="9">
        <v>38874</v>
      </c>
      <c r="G41" s="12" t="s">
        <v>122</v>
      </c>
      <c r="H41" s="20">
        <v>20</v>
      </c>
      <c r="I41" s="2">
        <v>68.099999999999994</v>
      </c>
      <c r="J41" s="2">
        <v>180.3</v>
      </c>
      <c r="K41" s="1"/>
      <c r="L41" s="24"/>
      <c r="M41" s="9" t="s">
        <v>166</v>
      </c>
      <c r="N41" s="2">
        <v>943</v>
      </c>
      <c r="O41" s="2">
        <v>37</v>
      </c>
      <c r="P41" s="2">
        <v>34.6</v>
      </c>
      <c r="Q41" s="2">
        <v>11.5</v>
      </c>
      <c r="R41" s="2">
        <v>11.6</v>
      </c>
      <c r="S41" s="2">
        <v>7.6</v>
      </c>
      <c r="T41" s="2">
        <v>9.8000000000000007</v>
      </c>
      <c r="U41" s="2">
        <v>19.100000000000001</v>
      </c>
      <c r="V41" s="2">
        <v>20</v>
      </c>
      <c r="W41" s="2">
        <v>13.2</v>
      </c>
      <c r="X41" s="2">
        <v>15.9</v>
      </c>
      <c r="Y41" s="1">
        <f t="shared" si="30"/>
        <v>39.1</v>
      </c>
      <c r="Z41" s="1">
        <f t="shared" si="31"/>
        <v>29.1</v>
      </c>
      <c r="AA41" s="1">
        <f t="shared" si="32"/>
        <v>1.3436426116838487</v>
      </c>
      <c r="AB41" s="2">
        <v>24</v>
      </c>
      <c r="AC41" s="2">
        <v>19</v>
      </c>
      <c r="AD41" s="2">
        <v>18</v>
      </c>
      <c r="AE41" s="2">
        <v>17</v>
      </c>
      <c r="AF41" s="2">
        <v>42.5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33.200000000000003</v>
      </c>
      <c r="AN41" s="2">
        <v>1769</v>
      </c>
      <c r="AO41" s="2">
        <v>12906</v>
      </c>
      <c r="AP41" s="2">
        <v>2.27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246</v>
      </c>
      <c r="BE41" s="1">
        <f t="shared" si="16"/>
        <v>3.6123348017621146</v>
      </c>
      <c r="BF41" s="2">
        <v>205</v>
      </c>
      <c r="BG41" s="1">
        <f t="shared" si="5"/>
        <v>3.0102790014684291</v>
      </c>
      <c r="BH41" s="2">
        <v>158</v>
      </c>
      <c r="BI41" s="1">
        <f t="shared" si="6"/>
        <v>2.3201174743024966</v>
      </c>
      <c r="BJ41" s="2">
        <v>140</v>
      </c>
      <c r="BK41" s="1">
        <f t="shared" si="7"/>
        <v>2.0558002936857562</v>
      </c>
      <c r="BL41" s="2">
        <v>125</v>
      </c>
      <c r="BM41" s="1">
        <f t="shared" si="8"/>
        <v>1.8355359765051396</v>
      </c>
      <c r="BN41" s="2">
        <v>130</v>
      </c>
      <c r="BO41" s="1">
        <f t="shared" si="9"/>
        <v>1.9089574155653453</v>
      </c>
      <c r="BP41" s="2">
        <v>133</v>
      </c>
      <c r="BQ41" s="1">
        <f t="shared" si="10"/>
        <v>1.9530102790014685</v>
      </c>
      <c r="BR41" s="2">
        <v>88</v>
      </c>
      <c r="BS41" s="1">
        <f t="shared" si="11"/>
        <v>1.2922173274596183</v>
      </c>
      <c r="BT41" s="2">
        <v>166</v>
      </c>
      <c r="BU41" s="1">
        <f t="shared" si="12"/>
        <v>2.4375917767988255</v>
      </c>
      <c r="BV41" s="1"/>
      <c r="BW41" s="1">
        <f t="shared" si="36"/>
        <v>0</v>
      </c>
      <c r="BX41" s="1">
        <f t="shared" si="14"/>
        <v>1.0506329113924051</v>
      </c>
      <c r="BY41" s="1">
        <f t="shared" si="18"/>
        <v>0</v>
      </c>
    </row>
    <row r="42" spans="1:77" ht="14.25" customHeight="1">
      <c r="A42" s="22" t="s">
        <v>135</v>
      </c>
      <c r="B42" s="2">
        <v>64</v>
      </c>
      <c r="C42" s="2" t="s">
        <v>83</v>
      </c>
      <c r="D42" s="10" t="s">
        <v>79</v>
      </c>
      <c r="E42" s="2" t="s">
        <v>80</v>
      </c>
      <c r="F42" s="9">
        <v>37488</v>
      </c>
      <c r="G42" s="8" t="s">
        <v>122</v>
      </c>
      <c r="H42" s="12">
        <v>23</v>
      </c>
      <c r="I42" s="2">
        <v>67</v>
      </c>
      <c r="J42" s="2">
        <v>175.5</v>
      </c>
      <c r="K42" s="1"/>
      <c r="L42" s="1"/>
      <c r="M42" s="9" t="s">
        <v>166</v>
      </c>
      <c r="N42" s="2">
        <v>1010</v>
      </c>
      <c r="O42" s="2">
        <v>27.7</v>
      </c>
      <c r="P42" s="2">
        <v>28.8</v>
      </c>
      <c r="Q42" s="2">
        <v>8.9</v>
      </c>
      <c r="R42" s="2">
        <v>9.6999999999999993</v>
      </c>
      <c r="S42" s="2">
        <v>11.2</v>
      </c>
      <c r="T42" s="2">
        <v>10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0"/>
        <v>65.7</v>
      </c>
      <c r="Z42" s="1">
        <f t="shared" si="31"/>
        <v>43.599999999999994</v>
      </c>
      <c r="AA42" s="1">
        <f t="shared" si="32"/>
        <v>1.5068807339449544</v>
      </c>
      <c r="AB42" s="2">
        <v>10</v>
      </c>
      <c r="AC42" s="2">
        <v>10</v>
      </c>
      <c r="AD42" s="2">
        <v>11</v>
      </c>
      <c r="AE42" s="2">
        <v>13</v>
      </c>
      <c r="AF42" s="2">
        <v>15.5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34.6</v>
      </c>
      <c r="AN42" s="2">
        <v>1714</v>
      </c>
      <c r="AO42" s="2">
        <v>11086</v>
      </c>
      <c r="AP42" s="2">
        <v>2.54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226</v>
      </c>
      <c r="BE42" s="1">
        <f t="shared" si="16"/>
        <v>3.3731343283582089</v>
      </c>
      <c r="BF42" s="2">
        <v>194</v>
      </c>
      <c r="BG42" s="1">
        <f t="shared" si="5"/>
        <v>2.8955223880597014</v>
      </c>
      <c r="BH42" s="2">
        <v>151</v>
      </c>
      <c r="BI42" s="1">
        <f t="shared" si="6"/>
        <v>2.2537313432835822</v>
      </c>
      <c r="BJ42" s="2">
        <v>128</v>
      </c>
      <c r="BK42" s="1">
        <f t="shared" si="7"/>
        <v>1.9104477611940298</v>
      </c>
      <c r="BL42" s="2">
        <v>122</v>
      </c>
      <c r="BM42" s="1">
        <f t="shared" si="8"/>
        <v>1.8208955223880596</v>
      </c>
      <c r="BN42" s="2">
        <v>116</v>
      </c>
      <c r="BO42" s="1">
        <f t="shared" si="9"/>
        <v>1.7313432835820894</v>
      </c>
      <c r="BP42" s="2">
        <v>113</v>
      </c>
      <c r="BQ42" s="1">
        <f t="shared" si="10"/>
        <v>1.6865671641791045</v>
      </c>
      <c r="BR42" s="2">
        <v>88</v>
      </c>
      <c r="BS42" s="1">
        <f t="shared" si="11"/>
        <v>1.3134328358208955</v>
      </c>
      <c r="BT42" s="2">
        <v>167</v>
      </c>
      <c r="BU42" s="1">
        <f t="shared" si="12"/>
        <v>2.4925373134328357</v>
      </c>
      <c r="BV42" s="2">
        <v>146</v>
      </c>
      <c r="BW42" s="1">
        <f t="shared" si="36"/>
        <v>2.1791044776119404</v>
      </c>
      <c r="BX42" s="1">
        <f t="shared" si="14"/>
        <v>1.1059602649006623</v>
      </c>
      <c r="BY42" s="1">
        <f t="shared" si="18"/>
        <v>1.140625</v>
      </c>
    </row>
    <row r="43" spans="1:77" ht="14.25" customHeight="1">
      <c r="A43" s="23" t="s">
        <v>136</v>
      </c>
      <c r="B43" s="2">
        <v>62</v>
      </c>
      <c r="C43" s="2" t="s">
        <v>78</v>
      </c>
      <c r="D43" s="10" t="s">
        <v>84</v>
      </c>
      <c r="E43" s="2" t="s">
        <v>87</v>
      </c>
      <c r="F43" s="9">
        <v>37859</v>
      </c>
      <c r="G43" s="12" t="s">
        <v>122</v>
      </c>
      <c r="H43" s="20">
        <v>22</v>
      </c>
      <c r="I43" s="2">
        <v>70.2</v>
      </c>
      <c r="J43" s="2">
        <v>173.6</v>
      </c>
      <c r="K43" s="1"/>
      <c r="L43" s="1"/>
      <c r="M43" s="9" t="s">
        <v>166</v>
      </c>
      <c r="N43" s="2">
        <v>1018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</v>
      </c>
      <c r="Y43" s="1">
        <f t="shared" si="30"/>
        <v>52.4</v>
      </c>
      <c r="Z43" s="1">
        <f t="shared" si="31"/>
        <v>55.9</v>
      </c>
      <c r="AA43" s="1">
        <f t="shared" si="32"/>
        <v>0.93738819320214672</v>
      </c>
      <c r="AB43" s="2">
        <v>11</v>
      </c>
      <c r="AC43" s="2">
        <v>10</v>
      </c>
      <c r="AD43" s="2">
        <v>6</v>
      </c>
      <c r="AE43" s="2">
        <v>7</v>
      </c>
      <c r="AF43" s="2">
        <v>16.5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36.1</v>
      </c>
      <c r="AN43" s="2">
        <v>2185</v>
      </c>
      <c r="AO43" s="2">
        <v>16691</v>
      </c>
      <c r="AP43" s="2">
        <v>3.11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2">
        <v>200</v>
      </c>
      <c r="BE43" s="1">
        <f t="shared" si="16"/>
        <v>2.8490028490028489</v>
      </c>
      <c r="BF43" s="2">
        <v>213</v>
      </c>
      <c r="BG43" s="1">
        <f t="shared" si="5"/>
        <v>3.0341880341880341</v>
      </c>
      <c r="BH43" s="2">
        <v>136</v>
      </c>
      <c r="BI43" s="1">
        <f t="shared" si="6"/>
        <v>1.9373219373219372</v>
      </c>
      <c r="BJ43" s="2">
        <v>142</v>
      </c>
      <c r="BK43" s="1">
        <f t="shared" si="7"/>
        <v>2.0227920227920229</v>
      </c>
      <c r="BL43" s="2">
        <v>110</v>
      </c>
      <c r="BM43" s="1">
        <f t="shared" si="8"/>
        <v>1.5669515669515668</v>
      </c>
      <c r="BN43" s="2">
        <v>87</v>
      </c>
      <c r="BO43" s="1">
        <f t="shared" si="9"/>
        <v>1.2393162393162394</v>
      </c>
      <c r="BP43" s="2">
        <v>84</v>
      </c>
      <c r="BQ43" s="1">
        <f t="shared" si="10"/>
        <v>1.1965811965811965</v>
      </c>
      <c r="BR43" s="2">
        <v>79</v>
      </c>
      <c r="BS43" s="1">
        <f t="shared" si="11"/>
        <v>1.1253561253561253</v>
      </c>
      <c r="BT43" s="1"/>
      <c r="BU43" s="1">
        <f t="shared" si="12"/>
        <v>0</v>
      </c>
      <c r="BV43" s="2">
        <v>121</v>
      </c>
      <c r="BW43" s="1">
        <f>BV42/I43</f>
        <v>2.0797720797720798</v>
      </c>
      <c r="BX43" s="1">
        <f t="shared" si="14"/>
        <v>0</v>
      </c>
      <c r="BY43" s="1">
        <f t="shared" si="18"/>
        <v>0.852112676056338</v>
      </c>
    </row>
    <row r="44" spans="1:77" ht="14.25" customHeight="1">
      <c r="A44" s="22" t="s">
        <v>137</v>
      </c>
      <c r="B44" s="2">
        <v>68</v>
      </c>
      <c r="C44" s="2" t="s">
        <v>83</v>
      </c>
      <c r="D44" s="6" t="s">
        <v>93</v>
      </c>
      <c r="E44" s="2" t="s">
        <v>106</v>
      </c>
      <c r="F44" s="9">
        <v>39424</v>
      </c>
      <c r="G44" s="8" t="s">
        <v>122</v>
      </c>
      <c r="H44" s="14">
        <v>18</v>
      </c>
      <c r="I44" s="2">
        <v>71</v>
      </c>
      <c r="J44" s="2">
        <v>172.5</v>
      </c>
      <c r="K44" s="1"/>
      <c r="L44" s="1"/>
      <c r="M44" s="9" t="s">
        <v>166</v>
      </c>
      <c r="N44" s="2">
        <v>1131</v>
      </c>
      <c r="O44" s="2">
        <v>39</v>
      </c>
      <c r="P44" s="2">
        <v>36.200000000000003</v>
      </c>
      <c r="Q44" s="2">
        <v>12.5</v>
      </c>
      <c r="R44" s="2">
        <v>11.5</v>
      </c>
      <c r="S44" s="2">
        <v>12.1</v>
      </c>
      <c r="T44" s="2">
        <v>12.1</v>
      </c>
      <c r="U44" s="2">
        <v>32.799999999999997</v>
      </c>
      <c r="V44" s="2">
        <v>29.8</v>
      </c>
      <c r="W44" s="2">
        <v>22.5</v>
      </c>
      <c r="X44" s="2">
        <v>21.2</v>
      </c>
      <c r="Y44" s="1">
        <f t="shared" si="30"/>
        <v>62.599999999999994</v>
      </c>
      <c r="Z44" s="1">
        <f t="shared" si="31"/>
        <v>43.7</v>
      </c>
      <c r="AA44" s="1">
        <f t="shared" si="32"/>
        <v>1.4324942791762012</v>
      </c>
      <c r="AB44" s="2">
        <v>13</v>
      </c>
      <c r="AC44" s="2">
        <v>16</v>
      </c>
      <c r="AD44" s="2">
        <v>13</v>
      </c>
      <c r="AE44" s="2">
        <v>12</v>
      </c>
      <c r="AF44" s="2">
        <v>39</v>
      </c>
      <c r="AG44" s="1"/>
      <c r="AH44" s="1">
        <f t="shared" si="33"/>
        <v>0</v>
      </c>
      <c r="AI44" s="1"/>
      <c r="AJ44" s="1">
        <f t="shared" si="34"/>
        <v>0</v>
      </c>
      <c r="AK44" s="1"/>
      <c r="AL44" s="1"/>
      <c r="AM44" s="2">
        <v>40.5</v>
      </c>
      <c r="AN44" s="2">
        <v>1770</v>
      </c>
      <c r="AO44" s="2">
        <v>8248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</v>
      </c>
      <c r="BE44" s="1">
        <f t="shared" si="16"/>
        <v>3.23943661971831</v>
      </c>
      <c r="BF44" s="2">
        <v>237</v>
      </c>
      <c r="BG44" s="1">
        <f t="shared" si="5"/>
        <v>3.3380281690140845</v>
      </c>
      <c r="BH44" s="2">
        <v>158</v>
      </c>
      <c r="BI44" s="1">
        <f t="shared" si="6"/>
        <v>2.2253521126760565</v>
      </c>
      <c r="BJ44" s="2">
        <v>163</v>
      </c>
      <c r="BK44" s="1">
        <f t="shared" si="7"/>
        <v>2.295774647887324</v>
      </c>
      <c r="BL44" s="2">
        <v>113</v>
      </c>
      <c r="BM44" s="1">
        <f t="shared" si="8"/>
        <v>1.591549295774648</v>
      </c>
      <c r="BN44" s="2">
        <v>123</v>
      </c>
      <c r="BO44" s="1">
        <f t="shared" si="9"/>
        <v>1.732394366197183</v>
      </c>
      <c r="BP44" s="2">
        <v>91</v>
      </c>
      <c r="BQ44" s="1">
        <f t="shared" si="10"/>
        <v>1.2816901408450705</v>
      </c>
      <c r="BR44" s="2">
        <v>109</v>
      </c>
      <c r="BS44" s="1">
        <f t="shared" si="11"/>
        <v>1.5352112676056338</v>
      </c>
      <c r="BT44" s="2">
        <v>144</v>
      </c>
      <c r="BU44" s="1">
        <f t="shared" si="12"/>
        <v>2.028169014084507</v>
      </c>
      <c r="BV44" s="2">
        <v>146</v>
      </c>
      <c r="BW44" s="1">
        <f t="shared" ref="BW44:BW52" si="37">BV44/I44</f>
        <v>2.056338028169014</v>
      </c>
      <c r="BX44" s="1">
        <f t="shared" si="14"/>
        <v>0.91139240506329111</v>
      </c>
      <c r="BY44" s="1">
        <f t="shared" si="18"/>
        <v>0.89570552147239269</v>
      </c>
    </row>
    <row r="45" spans="1:77" ht="14.25" customHeight="1">
      <c r="A45" s="23" t="s">
        <v>138</v>
      </c>
      <c r="B45" s="2"/>
      <c r="C45" s="2" t="s">
        <v>83</v>
      </c>
      <c r="D45" s="2"/>
      <c r="E45" s="2"/>
      <c r="F45" s="9">
        <v>39610</v>
      </c>
      <c r="G45" s="12" t="s">
        <v>122</v>
      </c>
      <c r="H45" s="20"/>
      <c r="I45" s="1"/>
      <c r="J45" s="1"/>
      <c r="K45" s="1"/>
      <c r="L45" s="1"/>
      <c r="M45" s="9" t="s">
        <v>166</v>
      </c>
      <c r="N45" s="2">
        <v>837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0"/>
        <v>0</v>
      </c>
      <c r="Z45" s="1">
        <f t="shared" si="31"/>
        <v>0</v>
      </c>
      <c r="AA45" s="1" t="e">
        <f t="shared" si="32"/>
        <v>#DIV/0!</v>
      </c>
      <c r="AB45" s="1"/>
      <c r="AC45" s="1"/>
      <c r="AD45" s="1"/>
      <c r="AE45" s="1"/>
      <c r="AF45" s="1"/>
      <c r="AG45" s="1"/>
      <c r="AH45" s="1" t="e">
        <f t="shared" si="33"/>
        <v>#DIV/0!</v>
      </c>
      <c r="AI45" s="1"/>
      <c r="AJ45" s="1" t="e">
        <f t="shared" si="34"/>
        <v>#DIV/0!</v>
      </c>
      <c r="AK45" s="1"/>
      <c r="AL45" s="1"/>
      <c r="AM45" s="2">
        <v>29.7</v>
      </c>
      <c r="AN45" s="2">
        <v>1659</v>
      </c>
      <c r="AO45" s="2">
        <v>5849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e">
        <f t="shared" si="16"/>
        <v>#DIV/0!</v>
      </c>
      <c r="BF45" s="1"/>
      <c r="BG45" s="1" t="e">
        <f t="shared" si="5"/>
        <v>#DIV/0!</v>
      </c>
      <c r="BH45" s="1"/>
      <c r="BI45" s="1" t="e">
        <f t="shared" si="6"/>
        <v>#DIV/0!</v>
      </c>
      <c r="BJ45" s="1"/>
      <c r="BK45" s="1" t="e">
        <f t="shared" si="7"/>
        <v>#DIV/0!</v>
      </c>
      <c r="BL45" s="1"/>
      <c r="BM45" s="1" t="e">
        <f t="shared" si="8"/>
        <v>#DIV/0!</v>
      </c>
      <c r="BN45" s="1"/>
      <c r="BO45" s="1" t="e">
        <f t="shared" si="9"/>
        <v>#DIV/0!</v>
      </c>
      <c r="BP45" s="1"/>
      <c r="BQ45" s="1" t="e">
        <f t="shared" si="10"/>
        <v>#DIV/0!</v>
      </c>
      <c r="BR45" s="1"/>
      <c r="BS45" s="1" t="e">
        <f t="shared" si="11"/>
        <v>#DIV/0!</v>
      </c>
      <c r="BT45" s="1"/>
      <c r="BU45" s="1" t="e">
        <f t="shared" si="12"/>
        <v>#DIV/0!</v>
      </c>
      <c r="BV45" s="1"/>
      <c r="BW45" s="1" t="e">
        <f t="shared" si="37"/>
        <v>#DIV/0!</v>
      </c>
      <c r="BX45" s="1" t="e">
        <f t="shared" si="14"/>
        <v>#DIV/0!</v>
      </c>
      <c r="BY45" s="1" t="e">
        <f t="shared" si="18"/>
        <v>#DIV/0!</v>
      </c>
    </row>
    <row r="46" spans="1:77" ht="14.25" customHeight="1">
      <c r="A46" s="22" t="s">
        <v>139</v>
      </c>
      <c r="B46" s="2">
        <v>67</v>
      </c>
      <c r="C46" s="2" t="s">
        <v>78</v>
      </c>
      <c r="D46" s="10" t="s">
        <v>79</v>
      </c>
      <c r="E46" s="2" t="s">
        <v>80</v>
      </c>
      <c r="F46" s="9">
        <v>39189</v>
      </c>
      <c r="G46" s="8" t="s">
        <v>122</v>
      </c>
      <c r="H46" s="14">
        <v>19</v>
      </c>
      <c r="I46" s="2">
        <v>71.099999999999994</v>
      </c>
      <c r="J46" s="2">
        <v>177.5</v>
      </c>
      <c r="K46" s="1"/>
      <c r="L46" s="1"/>
      <c r="M46" s="9" t="s">
        <v>166</v>
      </c>
      <c r="N46" s="2" t="s">
        <v>140</v>
      </c>
      <c r="O46" s="2">
        <v>30.9</v>
      </c>
      <c r="P46" s="2">
        <v>35.200000000000003</v>
      </c>
      <c r="Q46" s="2">
        <v>8.3000000000000007</v>
      </c>
      <c r="R46" s="2">
        <v>9.8000000000000007</v>
      </c>
      <c r="S46" s="2">
        <v>12.5</v>
      </c>
      <c r="T46" s="2">
        <v>12.3</v>
      </c>
      <c r="U46" s="2">
        <v>22</v>
      </c>
      <c r="V46" s="2">
        <v>21.8</v>
      </c>
      <c r="W46" s="2">
        <v>25.2</v>
      </c>
      <c r="X46" s="2">
        <v>24.7</v>
      </c>
      <c r="Y46" s="1">
        <f t="shared" si="30"/>
        <v>43.8</v>
      </c>
      <c r="Z46" s="1">
        <f t="shared" si="31"/>
        <v>49.9</v>
      </c>
      <c r="AA46" s="1">
        <f t="shared" si="32"/>
        <v>0.87775551102204408</v>
      </c>
      <c r="AB46" s="2">
        <v>13</v>
      </c>
      <c r="AC46" s="2">
        <v>16</v>
      </c>
      <c r="AD46" s="2">
        <v>11</v>
      </c>
      <c r="AE46" s="2">
        <v>10</v>
      </c>
      <c r="AF46" s="2">
        <v>26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46.1</v>
      </c>
      <c r="AN46" s="2">
        <v>1936</v>
      </c>
      <c r="AO46" s="2">
        <v>12991</v>
      </c>
      <c r="AP46" s="2">
        <v>2.52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2">
        <v>212</v>
      </c>
      <c r="BE46" s="1">
        <f t="shared" si="16"/>
        <v>2.9817158931082983</v>
      </c>
      <c r="BF46" s="2">
        <v>268</v>
      </c>
      <c r="BG46" s="1">
        <f t="shared" si="5"/>
        <v>3.7693389592123774</v>
      </c>
      <c r="BH46" s="2">
        <v>172</v>
      </c>
      <c r="BI46" s="1">
        <f t="shared" si="6"/>
        <v>2.419127988748242</v>
      </c>
      <c r="BJ46" s="2">
        <v>175</v>
      </c>
      <c r="BK46" s="1">
        <f t="shared" si="7"/>
        <v>2.4613220815752461</v>
      </c>
      <c r="BL46" s="2">
        <v>153</v>
      </c>
      <c r="BM46" s="1">
        <f t="shared" si="8"/>
        <v>2.1518987341772156</v>
      </c>
      <c r="BN46" s="2">
        <v>167</v>
      </c>
      <c r="BO46" s="1">
        <f t="shared" si="9"/>
        <v>2.3488045007032352</v>
      </c>
      <c r="BP46" s="2">
        <v>131</v>
      </c>
      <c r="BQ46" s="1">
        <f t="shared" si="10"/>
        <v>1.8424753867791843</v>
      </c>
      <c r="BR46" s="2">
        <v>138</v>
      </c>
      <c r="BS46" s="1">
        <f t="shared" si="11"/>
        <v>1.9409282700421941</v>
      </c>
      <c r="BT46" s="2">
        <v>166</v>
      </c>
      <c r="BU46" s="1">
        <f t="shared" si="12"/>
        <v>2.3347398030942337</v>
      </c>
      <c r="BV46" s="2">
        <v>145</v>
      </c>
      <c r="BW46" s="1">
        <f t="shared" si="37"/>
        <v>2.0393811533052042</v>
      </c>
      <c r="BX46" s="1">
        <f t="shared" si="14"/>
        <v>0.96511627906976749</v>
      </c>
      <c r="BY46" s="1">
        <f t="shared" si="18"/>
        <v>0.82857142857142863</v>
      </c>
    </row>
    <row r="47" spans="1:77" ht="14.25" customHeight="1">
      <c r="A47" s="22" t="s">
        <v>141</v>
      </c>
      <c r="B47" s="2">
        <v>71</v>
      </c>
      <c r="C47" s="2" t="s">
        <v>78</v>
      </c>
      <c r="D47" s="25" t="s">
        <v>84</v>
      </c>
      <c r="E47" s="2" t="s">
        <v>131</v>
      </c>
      <c r="F47" s="9">
        <v>39110</v>
      </c>
      <c r="G47" s="12" t="s">
        <v>122</v>
      </c>
      <c r="H47" s="8">
        <v>19</v>
      </c>
      <c r="I47" s="2">
        <v>92.5</v>
      </c>
      <c r="J47" s="2">
        <v>192</v>
      </c>
      <c r="K47" s="1"/>
      <c r="L47" s="1"/>
      <c r="M47" s="9" t="s">
        <v>166</v>
      </c>
      <c r="N47" s="2">
        <v>1497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8.8000000000000007</v>
      </c>
      <c r="U47" s="2">
        <v>41</v>
      </c>
      <c r="V47" s="2">
        <v>43.2</v>
      </c>
      <c r="W47" s="2">
        <v>27.9</v>
      </c>
      <c r="X47" s="2">
        <v>30.4</v>
      </c>
      <c r="Y47" s="1">
        <f t="shared" si="30"/>
        <v>84.2</v>
      </c>
      <c r="Z47" s="1">
        <f t="shared" si="31"/>
        <v>58.3</v>
      </c>
      <c r="AA47" s="1">
        <f t="shared" si="32"/>
        <v>1.4442538593481991</v>
      </c>
      <c r="AB47" s="2">
        <v>16</v>
      </c>
      <c r="AC47" s="2">
        <v>15</v>
      </c>
      <c r="AD47" s="2">
        <v>10</v>
      </c>
      <c r="AE47" s="2">
        <v>10.5</v>
      </c>
      <c r="AF47" s="2">
        <v>23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39.200000000000003</v>
      </c>
      <c r="AN47" s="2">
        <v>2439</v>
      </c>
      <c r="AO47" s="2">
        <v>21430</v>
      </c>
      <c r="AP47" s="2">
        <v>2.2599999999999998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2">
        <v>265</v>
      </c>
      <c r="BG47" s="1">
        <f t="shared" si="5"/>
        <v>2.8648648648648649</v>
      </c>
      <c r="BH47" s="2">
        <v>169</v>
      </c>
      <c r="BI47" s="1">
        <f t="shared" si="6"/>
        <v>1.827027027027027</v>
      </c>
      <c r="BJ47" s="2">
        <v>165</v>
      </c>
      <c r="BK47" s="1">
        <f t="shared" si="7"/>
        <v>1.7837837837837838</v>
      </c>
      <c r="BL47" s="2">
        <v>210</v>
      </c>
      <c r="BM47" s="1">
        <f t="shared" si="8"/>
        <v>2.2702702702702702</v>
      </c>
      <c r="BN47" s="2">
        <v>180</v>
      </c>
      <c r="BO47" s="1">
        <f t="shared" si="9"/>
        <v>1.9459459459459461</v>
      </c>
      <c r="BP47" s="2">
        <v>190</v>
      </c>
      <c r="BQ47" s="1">
        <f t="shared" si="10"/>
        <v>2.0540540540540539</v>
      </c>
      <c r="BR47" s="2">
        <v>167</v>
      </c>
      <c r="BS47" s="1">
        <f t="shared" si="11"/>
        <v>1.8054054054054054</v>
      </c>
      <c r="BT47" s="2">
        <v>254</v>
      </c>
      <c r="BU47" s="1">
        <f t="shared" si="12"/>
        <v>2.7459459459459459</v>
      </c>
      <c r="BV47" s="2">
        <v>251</v>
      </c>
      <c r="BW47" s="1">
        <f t="shared" si="37"/>
        <v>2.7135135135135133</v>
      </c>
      <c r="BX47" s="1">
        <f t="shared" si="14"/>
        <v>1.5029585798816567</v>
      </c>
      <c r="BY47" s="1">
        <f t="shared" si="18"/>
        <v>1.5212121212121212</v>
      </c>
    </row>
    <row r="48" spans="1:77" ht="14.25" customHeight="1">
      <c r="A48" s="22" t="s">
        <v>142</v>
      </c>
      <c r="B48" s="2">
        <v>82</v>
      </c>
      <c r="C48" s="2" t="s">
        <v>83</v>
      </c>
      <c r="D48" s="10" t="s">
        <v>84</v>
      </c>
      <c r="E48" s="2" t="s">
        <v>87</v>
      </c>
      <c r="F48" s="9">
        <v>39256</v>
      </c>
      <c r="G48" s="8" t="s">
        <v>122</v>
      </c>
      <c r="H48" s="14">
        <v>19</v>
      </c>
      <c r="I48" s="2">
        <v>65.400000000000006</v>
      </c>
      <c r="J48" s="2">
        <v>169</v>
      </c>
      <c r="K48" s="1"/>
      <c r="L48" s="1"/>
      <c r="M48" s="9" t="s">
        <v>166</v>
      </c>
      <c r="N48" s="2">
        <v>1164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18.600000000000001</v>
      </c>
      <c r="Y48" s="1">
        <f t="shared" si="30"/>
        <v>45.8</v>
      </c>
      <c r="Z48" s="1">
        <f t="shared" si="31"/>
        <v>34.1</v>
      </c>
      <c r="AA48" s="1">
        <f t="shared" si="32"/>
        <v>1.3431085043988269</v>
      </c>
      <c r="AB48" s="2">
        <v>12</v>
      </c>
      <c r="AC48" s="2">
        <v>12</v>
      </c>
      <c r="AD48" s="2">
        <v>9</v>
      </c>
      <c r="AE48" s="2">
        <v>9</v>
      </c>
      <c r="AF48" s="2">
        <v>35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41.4</v>
      </c>
      <c r="AN48" s="2">
        <v>1569</v>
      </c>
      <c r="AO48" s="2">
        <v>8108</v>
      </c>
      <c r="AP48" s="2">
        <v>2.4700000000000002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</v>
      </c>
      <c r="BE48" s="1">
        <f t="shared" si="16"/>
        <v>3.4403669724770638</v>
      </c>
      <c r="BF48" s="2">
        <v>236</v>
      </c>
      <c r="BG48" s="1">
        <f t="shared" si="5"/>
        <v>3.6085626911314983</v>
      </c>
      <c r="BH48" s="2">
        <v>153</v>
      </c>
      <c r="BI48" s="1">
        <f t="shared" si="6"/>
        <v>2.3394495412844036</v>
      </c>
      <c r="BJ48" s="2">
        <v>145</v>
      </c>
      <c r="BK48" s="1">
        <f t="shared" si="7"/>
        <v>2.2171253822629966</v>
      </c>
      <c r="BL48" s="2">
        <v>129</v>
      </c>
      <c r="BM48" s="1">
        <f t="shared" si="8"/>
        <v>1.9724770642201832</v>
      </c>
      <c r="BN48" s="2">
        <v>140</v>
      </c>
      <c r="BO48" s="1">
        <f t="shared" si="9"/>
        <v>2.1406727828746175</v>
      </c>
      <c r="BP48" s="2">
        <v>99</v>
      </c>
      <c r="BQ48" s="1">
        <f t="shared" si="10"/>
        <v>1.5137614678899081</v>
      </c>
      <c r="BR48" s="2">
        <v>108</v>
      </c>
      <c r="BS48" s="1">
        <f t="shared" si="11"/>
        <v>1.6513761467889907</v>
      </c>
      <c r="BT48" s="2">
        <v>125</v>
      </c>
      <c r="BU48" s="1">
        <f t="shared" si="12"/>
        <v>1.9113149847094799</v>
      </c>
      <c r="BV48" s="2">
        <v>129</v>
      </c>
      <c r="BW48" s="1">
        <f t="shared" si="37"/>
        <v>1.9724770642201832</v>
      </c>
      <c r="BX48" s="1">
        <f t="shared" si="14"/>
        <v>0.81699346405228757</v>
      </c>
      <c r="BY48" s="1">
        <f t="shared" si="18"/>
        <v>0.8896551724137931</v>
      </c>
    </row>
    <row r="49" spans="1:77" ht="14.25" customHeight="1">
      <c r="A49" s="22" t="s">
        <v>143</v>
      </c>
      <c r="B49" s="2">
        <v>75</v>
      </c>
      <c r="C49" s="2" t="s">
        <v>83</v>
      </c>
      <c r="D49" s="10" t="s">
        <v>84</v>
      </c>
      <c r="E49" s="2" t="s">
        <v>131</v>
      </c>
      <c r="F49" s="9">
        <v>39139</v>
      </c>
      <c r="G49" s="12" t="s">
        <v>122</v>
      </c>
      <c r="H49" s="20">
        <v>19</v>
      </c>
      <c r="I49" s="2">
        <v>86</v>
      </c>
      <c r="J49" s="2">
        <v>193</v>
      </c>
      <c r="K49" s="1"/>
      <c r="L49" s="9">
        <v>46199</v>
      </c>
      <c r="M49" s="9" t="s">
        <v>166</v>
      </c>
      <c r="N49" s="2">
        <v>1298</v>
      </c>
      <c r="O49" s="2">
        <v>43</v>
      </c>
      <c r="P49" s="2">
        <v>40.5</v>
      </c>
      <c r="Q49" s="2">
        <v>9.1999999999999993</v>
      </c>
      <c r="R49" s="2">
        <v>11.2</v>
      </c>
      <c r="S49" s="2">
        <v>11.9</v>
      </c>
      <c r="T49" s="2">
        <v>14.1</v>
      </c>
      <c r="U49" s="2">
        <v>35.799999999999997</v>
      </c>
      <c r="V49" s="2">
        <v>38.9</v>
      </c>
      <c r="W49" s="2">
        <v>27.5</v>
      </c>
      <c r="X49" s="2" t="s">
        <v>144</v>
      </c>
      <c r="Y49" s="1">
        <f t="shared" si="30"/>
        <v>74.699999999999989</v>
      </c>
      <c r="Z49" s="1" t="e">
        <f t="shared" si="31"/>
        <v>#VALUE!</v>
      </c>
      <c r="AA49" s="1" t="e">
        <f t="shared" si="32"/>
        <v>#VALUE!</v>
      </c>
      <c r="AB49" s="2">
        <v>14</v>
      </c>
      <c r="AC49" s="2">
        <v>14</v>
      </c>
      <c r="AD49" s="2">
        <v>14</v>
      </c>
      <c r="AE49" s="2">
        <v>14</v>
      </c>
      <c r="AF49" s="2">
        <v>23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2">
        <v>42.7</v>
      </c>
      <c r="AN49" s="2">
        <v>2439</v>
      </c>
      <c r="AO49" s="2">
        <v>18011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</v>
      </c>
      <c r="BE49" s="1">
        <f t="shared" si="16"/>
        <v>2.1744186046511627</v>
      </c>
      <c r="BF49" s="2">
        <v>245</v>
      </c>
      <c r="BG49" s="1">
        <f t="shared" si="5"/>
        <v>2.8488372093023258</v>
      </c>
      <c r="BH49" s="2">
        <v>141</v>
      </c>
      <c r="BI49" s="1">
        <f t="shared" si="6"/>
        <v>1.6395348837209303</v>
      </c>
      <c r="BJ49" s="2">
        <v>178</v>
      </c>
      <c r="BK49" s="1">
        <f t="shared" si="7"/>
        <v>2.0697674418604652</v>
      </c>
      <c r="BL49" s="2">
        <v>155</v>
      </c>
      <c r="BM49" s="1">
        <f t="shared" si="8"/>
        <v>1.8023255813953489</v>
      </c>
      <c r="BN49" s="2">
        <v>171</v>
      </c>
      <c r="BO49" s="1">
        <f t="shared" si="9"/>
        <v>1.9883720930232558</v>
      </c>
      <c r="BP49" s="2">
        <v>102</v>
      </c>
      <c r="BQ49" s="1">
        <f t="shared" si="10"/>
        <v>1.1860465116279071</v>
      </c>
      <c r="BR49" s="2">
        <v>131</v>
      </c>
      <c r="BS49" s="1">
        <f t="shared" si="11"/>
        <v>1.5232558139534884</v>
      </c>
      <c r="BT49" s="2">
        <v>221</v>
      </c>
      <c r="BU49" s="1">
        <f t="shared" si="12"/>
        <v>2.5697674418604652</v>
      </c>
      <c r="BV49" s="2">
        <v>236</v>
      </c>
      <c r="BW49" s="1">
        <f t="shared" si="37"/>
        <v>2.7441860465116279</v>
      </c>
      <c r="BX49" s="1">
        <f t="shared" si="14"/>
        <v>1.5673758865248226</v>
      </c>
      <c r="BY49" s="1">
        <f t="shared" si="18"/>
        <v>1.3258426966292134</v>
      </c>
    </row>
    <row r="50" spans="1:77" ht="14.25" customHeight="1">
      <c r="A50" s="22" t="s">
        <v>145</v>
      </c>
      <c r="B50" s="2">
        <v>81</v>
      </c>
      <c r="C50" s="2" t="s">
        <v>83</v>
      </c>
      <c r="D50" s="6" t="s">
        <v>93</v>
      </c>
      <c r="E50" s="2" t="s">
        <v>94</v>
      </c>
      <c r="F50" s="21">
        <v>39409</v>
      </c>
      <c r="G50" s="8" t="s">
        <v>122</v>
      </c>
      <c r="H50" s="14">
        <v>19</v>
      </c>
      <c r="I50" s="2">
        <v>79</v>
      </c>
      <c r="J50" s="2">
        <v>182.5</v>
      </c>
      <c r="K50" s="1"/>
      <c r="L50" s="1"/>
      <c r="M50" s="9" t="s">
        <v>166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9.8000000000000007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0"/>
        <v>42.5</v>
      </c>
      <c r="Z50" s="1">
        <f t="shared" si="31"/>
        <v>46.900000000000006</v>
      </c>
      <c r="AA50" s="1">
        <f t="shared" si="32"/>
        <v>0.90618336886993589</v>
      </c>
      <c r="AB50" s="2">
        <v>19</v>
      </c>
      <c r="AC50" s="2">
        <v>18</v>
      </c>
      <c r="AD50" s="2">
        <v>7</v>
      </c>
      <c r="AE50" s="2">
        <v>9</v>
      </c>
      <c r="AF50" s="2">
        <v>40</v>
      </c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</v>
      </c>
      <c r="BE50" s="1">
        <f t="shared" si="16"/>
        <v>1.4303797468354431</v>
      </c>
      <c r="BF50" s="2">
        <v>254</v>
      </c>
      <c r="BG50" s="1">
        <f t="shared" si="5"/>
        <v>3.2151898734177213</v>
      </c>
      <c r="BH50" s="2">
        <v>82</v>
      </c>
      <c r="BI50" s="1">
        <f t="shared" si="6"/>
        <v>1.0379746835443038</v>
      </c>
      <c r="BJ50" s="2">
        <v>192</v>
      </c>
      <c r="BK50" s="1">
        <f t="shared" si="7"/>
        <v>2.4303797468354431</v>
      </c>
      <c r="BL50" s="2">
        <v>180</v>
      </c>
      <c r="BM50" s="1">
        <f t="shared" si="8"/>
        <v>2.278481012658228</v>
      </c>
      <c r="BN50" s="2">
        <v>170</v>
      </c>
      <c r="BO50" s="1">
        <f t="shared" si="9"/>
        <v>2.1518987341772151</v>
      </c>
      <c r="BP50" s="2">
        <v>171</v>
      </c>
      <c r="BQ50" s="1">
        <f t="shared" si="10"/>
        <v>2.1645569620253164</v>
      </c>
      <c r="BR50" s="2">
        <v>142</v>
      </c>
      <c r="BS50" s="1">
        <f t="shared" si="11"/>
        <v>1.7974683544303798</v>
      </c>
      <c r="BT50" s="2">
        <v>230</v>
      </c>
      <c r="BU50" s="1">
        <f t="shared" si="12"/>
        <v>2.9113924050632911</v>
      </c>
      <c r="BV50" s="2">
        <v>213</v>
      </c>
      <c r="BW50" s="1">
        <f t="shared" si="37"/>
        <v>2.6962025316455698</v>
      </c>
      <c r="BX50" s="1">
        <f t="shared" si="14"/>
        <v>2.8048780487804876</v>
      </c>
      <c r="BY50" s="1">
        <f t="shared" si="18"/>
        <v>1.109375</v>
      </c>
    </row>
    <row r="51" spans="1:77" ht="14.25" customHeight="1">
      <c r="A51" s="22" t="s">
        <v>146</v>
      </c>
      <c r="B51" s="2">
        <v>47</v>
      </c>
      <c r="C51" s="2" t="s">
        <v>83</v>
      </c>
      <c r="D51" s="10" t="s">
        <v>79</v>
      </c>
      <c r="E51" s="2" t="s">
        <v>104</v>
      </c>
      <c r="F51" s="9">
        <v>39641</v>
      </c>
      <c r="G51" s="12" t="s">
        <v>147</v>
      </c>
      <c r="H51" s="20">
        <v>18</v>
      </c>
      <c r="I51" s="2">
        <v>72.3</v>
      </c>
      <c r="J51" s="2">
        <v>185</v>
      </c>
      <c r="K51" s="1"/>
      <c r="L51" s="9">
        <v>46202</v>
      </c>
      <c r="M51" s="9" t="s">
        <v>166</v>
      </c>
      <c r="N51" s="2">
        <v>1027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38.4</v>
      </c>
      <c r="AN51" s="2">
        <v>1785</v>
      </c>
      <c r="AO51" s="2">
        <v>8941</v>
      </c>
      <c r="AP51" s="1"/>
      <c r="AQ51" s="1"/>
      <c r="AR51" s="1"/>
      <c r="AS51" s="1"/>
      <c r="AT51" s="1"/>
      <c r="AU51" s="2">
        <v>19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</row>
    <row r="52" spans="1:77" ht="14.25" customHeight="1">
      <c r="A52" s="22" t="s">
        <v>148</v>
      </c>
      <c r="B52" s="2">
        <v>58</v>
      </c>
      <c r="C52" s="2" t="s">
        <v>83</v>
      </c>
      <c r="D52" s="6" t="s">
        <v>93</v>
      </c>
      <c r="E52" s="2" t="s">
        <v>106</v>
      </c>
      <c r="F52" s="9">
        <v>39582</v>
      </c>
      <c r="G52" s="8" t="s">
        <v>147</v>
      </c>
      <c r="H52" s="12">
        <v>18</v>
      </c>
      <c r="I52" s="2">
        <v>67</v>
      </c>
      <c r="J52" s="2">
        <v>177.5</v>
      </c>
      <c r="K52" s="1"/>
      <c r="L52" s="9">
        <v>46202</v>
      </c>
      <c r="M52" s="9" t="s">
        <v>166</v>
      </c>
      <c r="N52" s="2">
        <v>961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0"/>
        <v>0</v>
      </c>
      <c r="Z52" s="1">
        <f t="shared" si="31"/>
        <v>0</v>
      </c>
      <c r="AA52" s="1" t="e">
        <f t="shared" si="32"/>
        <v>#DIV/0!</v>
      </c>
      <c r="AB52" s="1"/>
      <c r="AC52" s="1"/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37.4</v>
      </c>
      <c r="AN52" s="2">
        <v>1438</v>
      </c>
      <c r="AO52" s="2">
        <v>9762</v>
      </c>
      <c r="AP52" s="2">
        <v>3.07</v>
      </c>
      <c r="AQ52" s="1"/>
      <c r="AR52" s="1"/>
      <c r="AS52" s="1"/>
      <c r="AT52" s="1"/>
      <c r="AU52" s="2">
        <v>18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37"/>
        <v>0</v>
      </c>
      <c r="BX52" s="1" t="e">
        <f t="shared" si="14"/>
        <v>#DIV/0!</v>
      </c>
      <c r="BY52" s="1" t="e">
        <f t="shared" si="18"/>
        <v>#DIV/0!</v>
      </c>
    </row>
    <row r="53" spans="1:77" ht="14.25" customHeight="1">
      <c r="A53" s="23" t="s">
        <v>149</v>
      </c>
      <c r="B53" s="2">
        <v>65</v>
      </c>
      <c r="C53" s="2" t="s">
        <v>83</v>
      </c>
      <c r="D53" s="10" t="s">
        <v>79</v>
      </c>
      <c r="E53" s="2" t="s">
        <v>80</v>
      </c>
      <c r="F53" s="9">
        <v>38159</v>
      </c>
      <c r="G53" s="12" t="s">
        <v>122</v>
      </c>
      <c r="H53" s="8">
        <v>22</v>
      </c>
      <c r="I53" s="2">
        <v>71.900000000000006</v>
      </c>
      <c r="J53" s="2">
        <v>176</v>
      </c>
      <c r="K53" s="1"/>
      <c r="L53" s="9">
        <v>46199</v>
      </c>
      <c r="M53" s="9" t="s">
        <v>166</v>
      </c>
      <c r="N53" s="2">
        <v>1085</v>
      </c>
      <c r="O53" s="2">
        <v>34.799999999999997</v>
      </c>
      <c r="P53" s="2">
        <v>37</v>
      </c>
      <c r="Q53" s="2">
        <v>11.2</v>
      </c>
      <c r="R53" s="2">
        <v>9.4</v>
      </c>
      <c r="S53" s="2">
        <v>10.199999999999999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0"/>
        <v>55.2</v>
      </c>
      <c r="Z53" s="1">
        <f t="shared" si="31"/>
        <v>51.8</v>
      </c>
      <c r="AA53" s="1">
        <f t="shared" si="32"/>
        <v>1.0656370656370657</v>
      </c>
      <c r="AB53" s="2">
        <v>18</v>
      </c>
      <c r="AC53" s="2">
        <v>18</v>
      </c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44.2</v>
      </c>
      <c r="AN53" s="2">
        <v>2055</v>
      </c>
      <c r="AO53" s="2">
        <v>15972</v>
      </c>
      <c r="AP53" s="2">
        <v>3.37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2">
        <v>214</v>
      </c>
      <c r="BE53" s="1">
        <f t="shared" si="16"/>
        <v>2.976356050069541</v>
      </c>
      <c r="BF53" s="2">
        <v>207</v>
      </c>
      <c r="BG53" s="1">
        <f t="shared" si="5"/>
        <v>2.8789986091794155</v>
      </c>
      <c r="BH53" s="2">
        <v>153</v>
      </c>
      <c r="BI53" s="1">
        <f t="shared" si="6"/>
        <v>2.127955493741307</v>
      </c>
      <c r="BJ53" s="2">
        <v>127</v>
      </c>
      <c r="BK53" s="1">
        <f t="shared" si="7"/>
        <v>1.7663421418636995</v>
      </c>
      <c r="BL53" s="2">
        <v>116</v>
      </c>
      <c r="BM53" s="1">
        <f t="shared" si="8"/>
        <v>1.6133518776077884</v>
      </c>
      <c r="BN53" s="2">
        <v>135</v>
      </c>
      <c r="BO53" s="1">
        <f t="shared" si="9"/>
        <v>1.8776077885952711</v>
      </c>
      <c r="BP53" s="2">
        <v>96</v>
      </c>
      <c r="BQ53" s="1">
        <f t="shared" si="10"/>
        <v>1.3351877607788594</v>
      </c>
      <c r="BR53" s="2">
        <v>104</v>
      </c>
      <c r="BS53" s="1">
        <f t="shared" si="11"/>
        <v>1.4464534075104309</v>
      </c>
      <c r="BT53" s="2">
        <v>118</v>
      </c>
      <c r="BU53" s="1">
        <f t="shared" si="12"/>
        <v>1.6411682892906814</v>
      </c>
      <c r="BV53" s="2">
        <v>119</v>
      </c>
      <c r="BW53" s="1">
        <f>BV52/I53</f>
        <v>0</v>
      </c>
      <c r="BX53" s="1">
        <f t="shared" si="14"/>
        <v>0.77124183006535951</v>
      </c>
      <c r="BY53" s="1">
        <f t="shared" si="18"/>
        <v>0.93700787401574803</v>
      </c>
    </row>
    <row r="54" spans="1:77" ht="14.25" customHeight="1">
      <c r="A54" s="22" t="s">
        <v>150</v>
      </c>
      <c r="B54" s="2">
        <v>57</v>
      </c>
      <c r="C54" s="2" t="s">
        <v>78</v>
      </c>
      <c r="D54" s="10" t="s">
        <v>84</v>
      </c>
      <c r="E54" s="2" t="s">
        <v>131</v>
      </c>
      <c r="F54" s="9">
        <v>39636</v>
      </c>
      <c r="G54" s="8" t="s">
        <v>147</v>
      </c>
      <c r="H54" s="12">
        <v>18</v>
      </c>
      <c r="I54" s="2">
        <v>71</v>
      </c>
      <c r="J54" s="2">
        <v>175</v>
      </c>
      <c r="K54" s="1"/>
      <c r="L54" s="9">
        <v>46202</v>
      </c>
      <c r="M54" s="9" t="s">
        <v>166</v>
      </c>
      <c r="N54" s="2">
        <v>926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0"/>
        <v>0</v>
      </c>
      <c r="Z54" s="1">
        <f t="shared" si="31"/>
        <v>0</v>
      </c>
      <c r="AA54" s="1" t="e">
        <f t="shared" si="32"/>
        <v>#DIV/0!</v>
      </c>
      <c r="AB54" s="1"/>
      <c r="AC54" s="1"/>
      <c r="AD54" s="1"/>
      <c r="AE54" s="1"/>
      <c r="AF54" s="1"/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38</v>
      </c>
      <c r="AN54" s="2">
        <v>1805</v>
      </c>
      <c r="AO54" s="2">
        <v>11450</v>
      </c>
      <c r="AP54" s="2">
        <v>2.69</v>
      </c>
      <c r="AQ54" s="1"/>
      <c r="AR54" s="1"/>
      <c r="AS54" s="1"/>
      <c r="AT54" s="1"/>
      <c r="AU54" s="2">
        <v>18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6"/>
        <v>0</v>
      </c>
      <c r="BF54" s="1"/>
      <c r="BG54" s="1">
        <f t="shared" si="5"/>
        <v>0</v>
      </c>
      <c r="BH54" s="1"/>
      <c r="BI54" s="1">
        <f t="shared" si="6"/>
        <v>0</v>
      </c>
      <c r="BJ54" s="1"/>
      <c r="BK54" s="1">
        <f t="shared" si="7"/>
        <v>0</v>
      </c>
      <c r="BL54" s="1"/>
      <c r="BM54" s="1">
        <f t="shared" si="8"/>
        <v>0</v>
      </c>
      <c r="BN54" s="1"/>
      <c r="BO54" s="1">
        <f t="shared" si="9"/>
        <v>0</v>
      </c>
      <c r="BP54" s="1"/>
      <c r="BQ54" s="1">
        <f t="shared" si="10"/>
        <v>0</v>
      </c>
      <c r="BR54" s="1"/>
      <c r="BS54" s="1">
        <f t="shared" si="11"/>
        <v>0</v>
      </c>
      <c r="BT54" s="1"/>
      <c r="BU54" s="1">
        <f t="shared" si="12"/>
        <v>0</v>
      </c>
      <c r="BV54" s="1"/>
      <c r="BW54" s="1">
        <f t="shared" ref="BW54:BW62" si="38">BV54/I54</f>
        <v>0</v>
      </c>
      <c r="BX54" s="1" t="e">
        <f t="shared" si="14"/>
        <v>#DIV/0!</v>
      </c>
      <c r="BY54" s="1" t="e">
        <f t="shared" si="18"/>
        <v>#DIV/0!</v>
      </c>
    </row>
    <row r="55" spans="1:77" ht="14.25" customHeight="1">
      <c r="A55" s="23" t="s">
        <v>151</v>
      </c>
      <c r="B55" s="2">
        <v>45</v>
      </c>
      <c r="C55" s="2" t="s">
        <v>83</v>
      </c>
      <c r="D55" s="6" t="s">
        <v>93</v>
      </c>
      <c r="E55" s="2" t="s">
        <v>106</v>
      </c>
      <c r="F55" s="9">
        <v>40213</v>
      </c>
      <c r="G55" s="12" t="s">
        <v>147</v>
      </c>
      <c r="H55" s="20">
        <v>16</v>
      </c>
      <c r="I55" s="2">
        <v>74.5</v>
      </c>
      <c r="J55" s="2">
        <v>184</v>
      </c>
      <c r="K55" s="1"/>
      <c r="L55" s="1"/>
      <c r="M55" s="9" t="s">
        <v>166</v>
      </c>
      <c r="N55" s="2">
        <v>1080</v>
      </c>
      <c r="O55" s="2">
        <v>34.9</v>
      </c>
      <c r="P55" s="2">
        <v>35.9</v>
      </c>
      <c r="Q55" s="2">
        <v>10.3</v>
      </c>
      <c r="R55" s="2">
        <v>8</v>
      </c>
      <c r="S55" s="2">
        <v>12.4</v>
      </c>
      <c r="T55" s="2">
        <v>11.5</v>
      </c>
      <c r="U55" s="2">
        <v>31.4</v>
      </c>
      <c r="V55" s="2">
        <v>30.6</v>
      </c>
      <c r="W55" s="2">
        <v>16.100000000000001</v>
      </c>
      <c r="X55" s="2">
        <v>16.100000000000001</v>
      </c>
      <c r="Y55" s="1">
        <f t="shared" si="30"/>
        <v>62</v>
      </c>
      <c r="Z55" s="1">
        <f t="shared" si="31"/>
        <v>32.200000000000003</v>
      </c>
      <c r="AA55" s="1">
        <f t="shared" si="32"/>
        <v>1.9254658385093166</v>
      </c>
      <c r="AB55" s="2">
        <v>15</v>
      </c>
      <c r="AC55" s="2">
        <v>17</v>
      </c>
      <c r="AD55" s="2">
        <v>12</v>
      </c>
      <c r="AE55" s="2">
        <v>15</v>
      </c>
      <c r="AF55" s="2">
        <v>31.5</v>
      </c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30</v>
      </c>
      <c r="AN55" s="2">
        <v>1885</v>
      </c>
      <c r="AO55" s="2">
        <v>12456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</v>
      </c>
      <c r="BE55" s="1">
        <f t="shared" si="16"/>
        <v>3.1140939597315436</v>
      </c>
      <c r="BF55" s="2">
        <v>279</v>
      </c>
      <c r="BG55" s="1">
        <f t="shared" si="5"/>
        <v>3.7449664429530203</v>
      </c>
      <c r="BH55" s="2">
        <v>131</v>
      </c>
      <c r="BI55" s="1">
        <f t="shared" si="6"/>
        <v>1.7583892617449663</v>
      </c>
      <c r="BJ55" s="2">
        <v>171</v>
      </c>
      <c r="BK55" s="1">
        <f t="shared" si="7"/>
        <v>2.2953020134228188</v>
      </c>
      <c r="BL55" s="2">
        <v>142</v>
      </c>
      <c r="BM55" s="1">
        <f t="shared" si="8"/>
        <v>1.9060402684563758</v>
      </c>
      <c r="BN55" s="2">
        <v>122</v>
      </c>
      <c r="BO55" s="1">
        <f t="shared" si="9"/>
        <v>1.6375838926174497</v>
      </c>
      <c r="BP55" s="2">
        <v>154</v>
      </c>
      <c r="BQ55" s="1">
        <f t="shared" si="10"/>
        <v>2.0671140939597317</v>
      </c>
      <c r="BR55" s="2">
        <v>132</v>
      </c>
      <c r="BS55" s="1">
        <f t="shared" si="11"/>
        <v>1.7718120805369129</v>
      </c>
      <c r="BT55" s="2">
        <v>168</v>
      </c>
      <c r="BU55" s="1">
        <f t="shared" si="12"/>
        <v>2.2550335570469797</v>
      </c>
      <c r="BV55" s="2">
        <v>174</v>
      </c>
      <c r="BW55" s="1">
        <f t="shared" si="38"/>
        <v>2.3355704697986579</v>
      </c>
      <c r="BX55" s="1">
        <f t="shared" si="14"/>
        <v>1.282442748091603</v>
      </c>
      <c r="BY55" s="1">
        <f t="shared" si="18"/>
        <v>1.0175438596491229</v>
      </c>
    </row>
    <row r="56" spans="1:77" ht="14.25" customHeight="1">
      <c r="A56" s="22" t="s">
        <v>152</v>
      </c>
      <c r="B56" s="2">
        <v>52</v>
      </c>
      <c r="C56" s="2" t="s">
        <v>83</v>
      </c>
      <c r="D56" s="10" t="s">
        <v>84</v>
      </c>
      <c r="E56" s="2" t="s">
        <v>131</v>
      </c>
      <c r="F56" s="9">
        <v>39825</v>
      </c>
      <c r="G56" s="8" t="s">
        <v>147</v>
      </c>
      <c r="H56" s="12">
        <v>17</v>
      </c>
      <c r="I56" s="2">
        <v>80.8</v>
      </c>
      <c r="J56" s="2">
        <v>188</v>
      </c>
      <c r="K56" s="1"/>
      <c r="L56" s="9">
        <v>46202</v>
      </c>
      <c r="M56" s="9" t="s">
        <v>166</v>
      </c>
      <c r="N56" s="2">
        <v>1357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37</v>
      </c>
      <c r="AN56" s="2">
        <v>2100</v>
      </c>
      <c r="AO56" s="2">
        <v>12231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2" t="s">
        <v>153</v>
      </c>
      <c r="B57" s="2">
        <v>53</v>
      </c>
      <c r="C57" s="2" t="s">
        <v>83</v>
      </c>
      <c r="D57" s="6" t="s">
        <v>93</v>
      </c>
      <c r="E57" s="2" t="s">
        <v>106</v>
      </c>
      <c r="F57" s="21">
        <v>39773</v>
      </c>
      <c r="G57" s="12" t="s">
        <v>147</v>
      </c>
      <c r="H57" s="8">
        <v>17</v>
      </c>
      <c r="I57" s="2">
        <v>67.099999999999994</v>
      </c>
      <c r="J57" s="2">
        <v>183</v>
      </c>
      <c r="K57" s="1"/>
      <c r="L57" s="1"/>
      <c r="M57" s="9" t="s">
        <v>166</v>
      </c>
      <c r="N57" s="2">
        <v>1182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>
        <f t="shared" si="33"/>
        <v>0</v>
      </c>
      <c r="AI57" s="1"/>
      <c r="AJ57" s="1">
        <f t="shared" si="34"/>
        <v>0</v>
      </c>
      <c r="AK57" s="1"/>
      <c r="AL57" s="1"/>
      <c r="AM57" s="2">
        <v>36.9</v>
      </c>
      <c r="AN57" s="2">
        <v>1788</v>
      </c>
      <c r="AO57" s="2">
        <v>11741</v>
      </c>
      <c r="AP57" s="2">
        <v>2.4700000000000002</v>
      </c>
      <c r="AQ57" s="1"/>
      <c r="AR57" s="1"/>
      <c r="AS57" s="1"/>
      <c r="AT57" s="1"/>
      <c r="AU57" s="2">
        <v>17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38"/>
        <v>0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2" t="s">
        <v>154</v>
      </c>
      <c r="B58" s="2">
        <v>55</v>
      </c>
      <c r="C58" s="2" t="s">
        <v>83</v>
      </c>
      <c r="D58" s="6" t="s">
        <v>93</v>
      </c>
      <c r="E58" s="2" t="s">
        <v>97</v>
      </c>
      <c r="F58" s="9">
        <v>40849</v>
      </c>
      <c r="G58" s="8" t="s">
        <v>147</v>
      </c>
      <c r="H58" s="12">
        <v>14</v>
      </c>
      <c r="I58" s="2" t="s">
        <v>155</v>
      </c>
      <c r="J58" s="1"/>
      <c r="K58" s="1"/>
      <c r="L58" s="1"/>
      <c r="M58" s="9" t="s">
        <v>166</v>
      </c>
      <c r="N58" s="2">
        <v>1014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0"/>
        <v>0</v>
      </c>
      <c r="Z58" s="1">
        <f t="shared" si="31"/>
        <v>0</v>
      </c>
      <c r="AA58" s="1" t="e">
        <f t="shared" si="32"/>
        <v>#DIV/0!</v>
      </c>
      <c r="AB58" s="1"/>
      <c r="AC58" s="1"/>
      <c r="AD58" s="1"/>
      <c r="AE58" s="1"/>
      <c r="AF58" s="1"/>
      <c r="AG58" s="1"/>
      <c r="AH58" s="1" t="e">
        <f t="shared" si="33"/>
        <v>#VALUE!</v>
      </c>
      <c r="AI58" s="1"/>
      <c r="AJ58" s="1" t="e">
        <f t="shared" si="34"/>
        <v>#VALUE!</v>
      </c>
      <c r="AK58" s="1"/>
      <c r="AL58" s="1"/>
      <c r="AM58" s="2">
        <v>40.700000000000003</v>
      </c>
      <c r="AN58" s="2">
        <v>1762</v>
      </c>
      <c r="AO58" s="2">
        <v>8461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e">
        <f t="shared" si="16"/>
        <v>#VALUE!</v>
      </c>
      <c r="BF58" s="1"/>
      <c r="BG58" s="1" t="e">
        <f t="shared" si="5"/>
        <v>#VALUE!</v>
      </c>
      <c r="BH58" s="1"/>
      <c r="BI58" s="1" t="e">
        <f t="shared" si="6"/>
        <v>#VALUE!</v>
      </c>
      <c r="BJ58" s="1"/>
      <c r="BK58" s="1" t="e">
        <f t="shared" si="7"/>
        <v>#VALUE!</v>
      </c>
      <c r="BL58" s="1"/>
      <c r="BM58" s="1" t="e">
        <f t="shared" si="8"/>
        <v>#VALUE!</v>
      </c>
      <c r="BN58" s="1"/>
      <c r="BO58" s="1" t="e">
        <f t="shared" si="9"/>
        <v>#VALUE!</v>
      </c>
      <c r="BP58" s="1"/>
      <c r="BQ58" s="1" t="e">
        <f t="shared" si="10"/>
        <v>#VALUE!</v>
      </c>
      <c r="BR58" s="1"/>
      <c r="BS58" s="1" t="e">
        <f t="shared" si="11"/>
        <v>#VALUE!</v>
      </c>
      <c r="BT58" s="1"/>
      <c r="BU58" s="1" t="e">
        <f t="shared" si="12"/>
        <v>#VALUE!</v>
      </c>
      <c r="BV58" s="1"/>
      <c r="BW58" s="1" t="e">
        <f t="shared" si="38"/>
        <v>#VALUE!</v>
      </c>
      <c r="BX58" s="1" t="e">
        <f t="shared" si="14"/>
        <v>#DIV/0!</v>
      </c>
      <c r="BY58" s="1" t="e">
        <f t="shared" si="18"/>
        <v>#DIV/0!</v>
      </c>
    </row>
    <row r="59" spans="1:77" ht="14.25" customHeight="1">
      <c r="A59" s="22" t="s">
        <v>156</v>
      </c>
      <c r="B59" s="2">
        <v>70</v>
      </c>
      <c r="C59" s="2" t="s">
        <v>83</v>
      </c>
      <c r="D59" s="10" t="s">
        <v>100</v>
      </c>
      <c r="E59" s="2" t="s">
        <v>101</v>
      </c>
      <c r="F59" s="9">
        <v>38239</v>
      </c>
      <c r="G59" s="12" t="s">
        <v>122</v>
      </c>
      <c r="H59" s="8">
        <v>21</v>
      </c>
      <c r="I59" s="2">
        <v>85.4</v>
      </c>
      <c r="J59" s="2">
        <v>187</v>
      </c>
      <c r="K59" s="1"/>
      <c r="L59" s="1"/>
      <c r="M59" s="9" t="s">
        <v>166</v>
      </c>
      <c r="N59" s="2">
        <v>1319</v>
      </c>
      <c r="O59" s="2">
        <v>45.1</v>
      </c>
      <c r="P59" s="2">
        <v>41.5</v>
      </c>
      <c r="Q59" s="2">
        <v>9</v>
      </c>
      <c r="R59" s="2">
        <v>8.6999999999999993</v>
      </c>
      <c r="S59" s="2">
        <v>8.4</v>
      </c>
      <c r="T59" s="2">
        <v>9.8000000000000007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0"/>
        <v>59.1</v>
      </c>
      <c r="Z59" s="1">
        <f t="shared" si="31"/>
        <v>65.5</v>
      </c>
      <c r="AA59" s="1">
        <f t="shared" si="32"/>
        <v>0.90229007633587788</v>
      </c>
      <c r="AB59" s="2">
        <v>18</v>
      </c>
      <c r="AC59" s="2">
        <v>20</v>
      </c>
      <c r="AD59" s="2">
        <v>13</v>
      </c>
      <c r="AE59" s="2">
        <v>12</v>
      </c>
      <c r="AF59" s="2">
        <v>42.5</v>
      </c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2">
        <v>48.3</v>
      </c>
      <c r="AN59" s="2">
        <v>2448</v>
      </c>
      <c r="AO59" s="2">
        <v>15927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</v>
      </c>
      <c r="BE59" s="1">
        <f t="shared" si="16"/>
        <v>3.8992974238875875</v>
      </c>
      <c r="BF59" s="2">
        <v>312</v>
      </c>
      <c r="BG59" s="1">
        <f t="shared" si="5"/>
        <v>3.6533957845433251</v>
      </c>
      <c r="BH59" s="2">
        <v>219</v>
      </c>
      <c r="BI59" s="1">
        <f t="shared" si="6"/>
        <v>2.5644028103044496</v>
      </c>
      <c r="BJ59" s="2">
        <v>204</v>
      </c>
      <c r="BK59" s="1">
        <f t="shared" si="7"/>
        <v>2.3887587822014051</v>
      </c>
      <c r="BL59" s="2">
        <v>165</v>
      </c>
      <c r="BM59" s="1">
        <f t="shared" si="8"/>
        <v>1.9320843091334894</v>
      </c>
      <c r="BN59" s="2">
        <v>169</v>
      </c>
      <c r="BO59" s="1">
        <f t="shared" si="9"/>
        <v>1.9789227166276346</v>
      </c>
      <c r="BP59" s="2">
        <v>164</v>
      </c>
      <c r="BQ59" s="1">
        <f t="shared" si="10"/>
        <v>1.9203747072599531</v>
      </c>
      <c r="BR59" s="2">
        <v>155</v>
      </c>
      <c r="BS59" s="1">
        <f t="shared" si="11"/>
        <v>1.8149882903981263</v>
      </c>
      <c r="BT59" s="2">
        <v>224</v>
      </c>
      <c r="BU59" s="1">
        <f t="shared" si="12"/>
        <v>2.622950819672131</v>
      </c>
      <c r="BV59" s="2">
        <v>212</v>
      </c>
      <c r="BW59" s="1">
        <f t="shared" si="38"/>
        <v>2.4824355971896952</v>
      </c>
      <c r="BX59" s="1">
        <f t="shared" si="14"/>
        <v>1.0228310502283104</v>
      </c>
      <c r="BY59" s="1">
        <f t="shared" si="18"/>
        <v>1.0392156862745099</v>
      </c>
    </row>
    <row r="60" spans="1:77" ht="14.25" customHeight="1">
      <c r="A60" s="22" t="s">
        <v>157</v>
      </c>
      <c r="B60" s="2">
        <v>59</v>
      </c>
      <c r="C60" s="2" t="s">
        <v>83</v>
      </c>
      <c r="D60" s="6" t="s">
        <v>93</v>
      </c>
      <c r="E60" s="2" t="s">
        <v>106</v>
      </c>
      <c r="F60" s="9">
        <v>38810</v>
      </c>
      <c r="G60" s="8" t="s">
        <v>147</v>
      </c>
      <c r="H60" s="14">
        <v>20</v>
      </c>
      <c r="I60" s="2">
        <v>72.5</v>
      </c>
      <c r="J60" s="1"/>
      <c r="K60" s="1"/>
      <c r="L60" s="1"/>
      <c r="M60" s="9" t="s">
        <v>166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</row>
    <row r="61" spans="1:77" ht="14.25" customHeight="1">
      <c r="A61" s="22" t="s">
        <v>158</v>
      </c>
      <c r="B61" s="2">
        <v>54</v>
      </c>
      <c r="C61" s="2" t="s">
        <v>83</v>
      </c>
      <c r="D61" s="6" t="s">
        <v>93</v>
      </c>
      <c r="E61" s="2" t="s">
        <v>106</v>
      </c>
      <c r="F61" s="9">
        <v>39825</v>
      </c>
      <c r="G61" s="12" t="s">
        <v>147</v>
      </c>
      <c r="H61" s="8">
        <v>17</v>
      </c>
      <c r="I61" s="2">
        <v>68.599999999999994</v>
      </c>
      <c r="J61" s="2">
        <v>178</v>
      </c>
      <c r="K61" s="1"/>
      <c r="L61" s="1"/>
      <c r="M61" s="9" t="s">
        <v>166</v>
      </c>
      <c r="N61" s="2">
        <v>1168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35.1</v>
      </c>
      <c r="AN61" s="2">
        <v>1657</v>
      </c>
      <c r="AO61" s="2">
        <v>12351</v>
      </c>
      <c r="AP61" s="2">
        <v>2.13</v>
      </c>
      <c r="AQ61" s="1"/>
      <c r="AR61" s="1"/>
      <c r="AS61" s="1"/>
      <c r="AT61" s="1"/>
      <c r="AU61" s="2">
        <v>18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</row>
    <row r="62" spans="1:77" ht="14.25" customHeight="1">
      <c r="A62" s="22" t="s">
        <v>159</v>
      </c>
      <c r="B62" s="2">
        <v>43</v>
      </c>
      <c r="C62" s="2" t="s">
        <v>83</v>
      </c>
      <c r="D62" s="10" t="s">
        <v>79</v>
      </c>
      <c r="E62" s="2" t="s">
        <v>104</v>
      </c>
      <c r="F62" s="9">
        <v>68865</v>
      </c>
      <c r="G62" s="8" t="s">
        <v>147</v>
      </c>
      <c r="H62" s="12">
        <v>18</v>
      </c>
      <c r="I62" s="2">
        <v>86.4</v>
      </c>
      <c r="J62" s="2">
        <v>188.5</v>
      </c>
      <c r="K62" s="1"/>
      <c r="L62" s="1"/>
      <c r="M62" s="9" t="s">
        <v>166</v>
      </c>
      <c r="N62" s="2">
        <v>1430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41.5</v>
      </c>
      <c r="AN62" s="2">
        <v>1959</v>
      </c>
      <c r="AO62" s="2">
        <v>10902</v>
      </c>
      <c r="AP62" s="2">
        <v>2.4500000000000002</v>
      </c>
      <c r="AQ62" s="1"/>
      <c r="AR62" s="1"/>
      <c r="AS62" s="1"/>
      <c r="AT62" s="1"/>
      <c r="AU62" s="2">
        <v>15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 t="shared" si="38"/>
        <v>0</v>
      </c>
      <c r="BX62" s="1" t="e">
        <f t="shared" si="14"/>
        <v>#DIV/0!</v>
      </c>
      <c r="BY62" s="1" t="e">
        <f t="shared" si="18"/>
        <v>#DIV/0!</v>
      </c>
    </row>
    <row r="63" spans="1:77" ht="14.25" customHeight="1">
      <c r="A63" s="22" t="s">
        <v>160</v>
      </c>
      <c r="B63" s="2">
        <v>41</v>
      </c>
      <c r="C63" s="2" t="s">
        <v>78</v>
      </c>
      <c r="D63" s="10" t="s">
        <v>79</v>
      </c>
      <c r="E63" s="2" t="s">
        <v>80</v>
      </c>
      <c r="F63" s="9">
        <v>39660</v>
      </c>
      <c r="G63" s="12" t="s">
        <v>147</v>
      </c>
      <c r="H63" s="8">
        <v>18</v>
      </c>
      <c r="I63" s="2">
        <v>69.400000000000006</v>
      </c>
      <c r="J63" s="2">
        <v>176</v>
      </c>
      <c r="K63" s="1"/>
      <c r="L63" s="1"/>
      <c r="M63" s="9" t="s">
        <v>166</v>
      </c>
      <c r="N63" s="2">
        <v>957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0"/>
        <v>0</v>
      </c>
      <c r="Z63" s="1">
        <f t="shared" si="31"/>
        <v>0</v>
      </c>
      <c r="AA63" s="1" t="e">
        <f t="shared" si="32"/>
        <v>#DIV/0!</v>
      </c>
      <c r="AB63" s="1"/>
      <c r="AC63" s="1"/>
      <c r="AD63" s="1"/>
      <c r="AE63" s="1"/>
      <c r="AF63" s="1"/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35.1</v>
      </c>
      <c r="AN63" s="2">
        <v>1730</v>
      </c>
      <c r="AO63" s="2">
        <v>10436</v>
      </c>
      <c r="AP63" s="2">
        <v>2.34</v>
      </c>
      <c r="AQ63" s="1"/>
      <c r="AR63" s="1"/>
      <c r="AS63" s="1"/>
      <c r="AT63" s="1"/>
      <c r="AU63" s="2">
        <v>18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6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N63" s="1"/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>BV62/I63</f>
        <v>0</v>
      </c>
      <c r="BX63" s="1" t="e">
        <f t="shared" si="14"/>
        <v>#DIV/0!</v>
      </c>
      <c r="BY63" s="1" t="e">
        <f t="shared" si="18"/>
        <v>#DIV/0!</v>
      </c>
    </row>
    <row r="64" spans="1:77" ht="14.25" customHeight="1">
      <c r="A64" s="22" t="s">
        <v>161</v>
      </c>
      <c r="B64" s="2">
        <v>44</v>
      </c>
      <c r="C64" s="2" t="s">
        <v>83</v>
      </c>
      <c r="D64" s="10" t="s">
        <v>79</v>
      </c>
      <c r="E64" s="2" t="s">
        <v>104</v>
      </c>
      <c r="F64" s="9">
        <v>38799</v>
      </c>
      <c r="G64" s="8" t="s">
        <v>147</v>
      </c>
      <c r="H64" s="14">
        <v>20</v>
      </c>
      <c r="I64" s="2">
        <v>75</v>
      </c>
      <c r="J64" s="2">
        <v>184</v>
      </c>
      <c r="K64" s="1"/>
      <c r="L64" s="1"/>
      <c r="M64" s="9" t="s">
        <v>166</v>
      </c>
      <c r="N64" s="2">
        <v>1246</v>
      </c>
      <c r="O64" s="2">
        <v>37.299999999999997</v>
      </c>
      <c r="P64" s="2">
        <v>35.6</v>
      </c>
      <c r="Q64" s="2">
        <v>11.5</v>
      </c>
      <c r="R64" s="2">
        <v>14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0"/>
        <v>46.599999999999994</v>
      </c>
      <c r="Z64" s="1">
        <f t="shared" si="31"/>
        <v>48.400000000000006</v>
      </c>
      <c r="AA64" s="1">
        <f t="shared" si="32"/>
        <v>0.96280991735537169</v>
      </c>
      <c r="AB64" s="2">
        <v>18</v>
      </c>
      <c r="AC64" s="2">
        <v>18</v>
      </c>
      <c r="AD64" s="2">
        <v>12</v>
      </c>
      <c r="AE64" s="2">
        <v>14</v>
      </c>
      <c r="AF64" s="2">
        <v>43.5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52.9</v>
      </c>
      <c r="AN64" s="2">
        <v>1931</v>
      </c>
      <c r="AO64" s="2">
        <v>9792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</v>
      </c>
      <c r="BE64" s="1">
        <f t="shared" si="16"/>
        <v>4.1866666666666665</v>
      </c>
      <c r="BF64" s="2">
        <v>340</v>
      </c>
      <c r="BG64" s="1">
        <f t="shared" si="5"/>
        <v>4.5333333333333332</v>
      </c>
      <c r="BH64" s="2">
        <v>195</v>
      </c>
      <c r="BI64" s="1">
        <f t="shared" si="6"/>
        <v>2.6</v>
      </c>
      <c r="BJ64" s="2">
        <v>204</v>
      </c>
      <c r="BK64" s="1">
        <f t="shared" si="7"/>
        <v>2.72</v>
      </c>
      <c r="BL64" s="2">
        <v>170</v>
      </c>
      <c r="BM64" s="1">
        <f t="shared" si="8"/>
        <v>2.2666666666666666</v>
      </c>
      <c r="BN64" s="2">
        <v>177</v>
      </c>
      <c r="BO64" s="1">
        <f t="shared" si="9"/>
        <v>2.36</v>
      </c>
      <c r="BP64" s="2">
        <v>157</v>
      </c>
      <c r="BQ64" s="1">
        <f t="shared" si="10"/>
        <v>2.0933333333333333</v>
      </c>
      <c r="BR64" s="2">
        <v>162</v>
      </c>
      <c r="BS64" s="1">
        <f t="shared" si="11"/>
        <v>2.16</v>
      </c>
      <c r="BT64" s="2">
        <v>210</v>
      </c>
      <c r="BU64" s="1">
        <f t="shared" si="12"/>
        <v>2.8</v>
      </c>
      <c r="BV64" s="2">
        <v>211</v>
      </c>
      <c r="BW64" s="1">
        <f t="shared" ref="BW64:BW67" si="39">BV64/I64</f>
        <v>2.8133333333333335</v>
      </c>
      <c r="BX64" s="1">
        <f t="shared" si="14"/>
        <v>1.0769230769230769</v>
      </c>
      <c r="BY64" s="1">
        <f t="shared" si="18"/>
        <v>1.0343137254901962</v>
      </c>
    </row>
    <row r="65" spans="1:77" ht="14.25" customHeight="1">
      <c r="A65" s="26" t="s">
        <v>162</v>
      </c>
      <c r="B65" s="2">
        <v>42</v>
      </c>
      <c r="C65" s="2" t="s">
        <v>83</v>
      </c>
      <c r="D65" s="10" t="s">
        <v>84</v>
      </c>
      <c r="E65" s="2" t="s">
        <v>131</v>
      </c>
      <c r="F65" s="9">
        <v>38972</v>
      </c>
      <c r="G65" s="12" t="s">
        <v>147</v>
      </c>
      <c r="H65" s="20">
        <v>19</v>
      </c>
      <c r="I65" s="2">
        <v>82.1</v>
      </c>
      <c r="J65" s="2">
        <v>189</v>
      </c>
      <c r="K65" s="1"/>
      <c r="L65" s="9">
        <v>46199</v>
      </c>
      <c r="M65" s="9" t="s">
        <v>166</v>
      </c>
      <c r="N65" s="2">
        <v>1237</v>
      </c>
      <c r="O65" s="2">
        <v>38.200000000000003</v>
      </c>
      <c r="P65" s="2">
        <v>39.700000000000003</v>
      </c>
      <c r="Q65" s="2">
        <v>10.4</v>
      </c>
      <c r="R65" s="2">
        <v>8.6999999999999993</v>
      </c>
      <c r="S65" s="2">
        <v>7.4</v>
      </c>
      <c r="T65" s="2">
        <v>11.1</v>
      </c>
      <c r="U65" s="2">
        <v>27</v>
      </c>
      <c r="V65" s="2">
        <v>24.6</v>
      </c>
      <c r="W65" s="2">
        <v>20.2</v>
      </c>
      <c r="X65" s="2">
        <v>20.9</v>
      </c>
      <c r="Y65" s="1">
        <f t="shared" si="30"/>
        <v>51.6</v>
      </c>
      <c r="Z65" s="1">
        <f t="shared" si="31"/>
        <v>41.099999999999994</v>
      </c>
      <c r="AA65" s="1">
        <f t="shared" si="32"/>
        <v>1.2554744525547448</v>
      </c>
      <c r="AB65" s="2">
        <v>16</v>
      </c>
      <c r="AC65" s="2">
        <v>17</v>
      </c>
      <c r="AD65" s="2">
        <v>11</v>
      </c>
      <c r="AE65" s="2">
        <v>6</v>
      </c>
      <c r="AF65" s="2">
        <v>34.5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38.799999999999997</v>
      </c>
      <c r="AN65" s="2">
        <v>2200</v>
      </c>
      <c r="AO65" s="2">
        <v>22313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4">
        <v>261</v>
      </c>
      <c r="BE65" s="1">
        <f>BD64/I65</f>
        <v>3.8246041412911085</v>
      </c>
      <c r="BF65" s="2">
        <v>197</v>
      </c>
      <c r="BG65" s="1">
        <f t="shared" si="5"/>
        <v>2.3995127892813644</v>
      </c>
      <c r="BH65" s="2">
        <v>187</v>
      </c>
      <c r="BI65" s="1">
        <f t="shared" si="6"/>
        <v>2.2777101096224119</v>
      </c>
      <c r="BJ65" s="2">
        <v>176</v>
      </c>
      <c r="BK65" s="1">
        <f t="shared" si="7"/>
        <v>2.143727161997564</v>
      </c>
      <c r="BL65" s="2">
        <v>152</v>
      </c>
      <c r="BM65" s="1">
        <f t="shared" si="8"/>
        <v>1.851400730816078</v>
      </c>
      <c r="BN65" s="2">
        <v>143</v>
      </c>
      <c r="BO65" s="1">
        <f t="shared" si="9"/>
        <v>1.7417783191230207</v>
      </c>
      <c r="BP65" s="2">
        <v>121</v>
      </c>
      <c r="BQ65" s="1">
        <f t="shared" si="10"/>
        <v>1.4738124238733252</v>
      </c>
      <c r="BR65" s="2">
        <v>104</v>
      </c>
      <c r="BS65" s="1">
        <f t="shared" si="11"/>
        <v>1.2667478684531062</v>
      </c>
      <c r="BT65" s="2">
        <v>203</v>
      </c>
      <c r="BU65" s="1">
        <f t="shared" si="12"/>
        <v>2.4725943970767359</v>
      </c>
      <c r="BV65" s="2">
        <v>180</v>
      </c>
      <c r="BW65" s="1">
        <f t="shared" si="39"/>
        <v>2.1924482338611453</v>
      </c>
      <c r="BX65" s="1">
        <f t="shared" si="14"/>
        <v>1.0855614973262031</v>
      </c>
      <c r="BY65" s="1">
        <f t="shared" si="18"/>
        <v>1.0227272727272727</v>
      </c>
    </row>
    <row r="66" spans="1:77" ht="14.25" customHeight="1">
      <c r="A66" s="26" t="s">
        <v>163</v>
      </c>
      <c r="B66" s="2">
        <v>49</v>
      </c>
      <c r="C66" s="2" t="s">
        <v>83</v>
      </c>
      <c r="D66" s="10" t="s">
        <v>79</v>
      </c>
      <c r="E66" s="2" t="s">
        <v>104</v>
      </c>
      <c r="F66" s="9">
        <v>39910</v>
      </c>
      <c r="G66" s="8" t="s">
        <v>147</v>
      </c>
      <c r="H66" s="14">
        <v>17</v>
      </c>
      <c r="I66" s="2">
        <v>75.400000000000006</v>
      </c>
      <c r="J66" s="2">
        <v>184.5</v>
      </c>
      <c r="K66" s="1"/>
      <c r="L66" s="9">
        <v>46199</v>
      </c>
      <c r="M66" s="9" t="s">
        <v>166</v>
      </c>
      <c r="N66" s="2">
        <v>1168</v>
      </c>
      <c r="O66" s="2">
        <v>36.200000000000003</v>
      </c>
      <c r="P66" s="2">
        <v>36.799999999999997</v>
      </c>
      <c r="Q66" s="2">
        <v>13.3</v>
      </c>
      <c r="R66" s="2">
        <v>13.5</v>
      </c>
      <c r="S66" s="2">
        <v>14.9</v>
      </c>
      <c r="T66" s="2">
        <v>13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0"/>
        <v>64.5</v>
      </c>
      <c r="Z66" s="1">
        <f t="shared" si="31"/>
        <v>45.8</v>
      </c>
      <c r="AA66" s="1">
        <f t="shared" si="32"/>
        <v>1.4082969432314412</v>
      </c>
      <c r="AB66" s="2">
        <v>17</v>
      </c>
      <c r="AC66" s="2">
        <v>17</v>
      </c>
      <c r="AD66" s="2">
        <v>5</v>
      </c>
      <c r="AE66" s="2">
        <v>6</v>
      </c>
      <c r="AF66" s="2">
        <v>15.5</v>
      </c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39.799999999999997</v>
      </c>
      <c r="AN66" s="2">
        <v>1700</v>
      </c>
      <c r="AO66" s="2">
        <v>8696</v>
      </c>
      <c r="AP66" s="2">
        <v>2.68</v>
      </c>
      <c r="AQ66" s="1"/>
      <c r="AR66" s="1"/>
      <c r="AS66" s="1"/>
      <c r="AT66" s="1"/>
      <c r="AU66" s="2">
        <v>17</v>
      </c>
      <c r="AV66" s="1"/>
      <c r="AW66" s="1"/>
      <c r="AX66" s="1"/>
      <c r="AY66" s="1"/>
      <c r="AZ66" s="1"/>
      <c r="BA66" s="1"/>
      <c r="BB66" s="1"/>
      <c r="BC66" s="1"/>
      <c r="BD66" s="2">
        <v>214</v>
      </c>
      <c r="BE66" s="1">
        <f t="shared" ref="BE66:BE67" si="40">BD66/I66</f>
        <v>2.8381962864721482</v>
      </c>
      <c r="BF66" s="2">
        <v>281</v>
      </c>
      <c r="BG66" s="1">
        <f t="shared" si="5"/>
        <v>3.7267904509283816</v>
      </c>
      <c r="BH66" s="2">
        <v>159</v>
      </c>
      <c r="BI66" s="1">
        <f t="shared" si="6"/>
        <v>2.1087533156498672</v>
      </c>
      <c r="BJ66" s="2">
        <v>180</v>
      </c>
      <c r="BK66" s="1">
        <f t="shared" si="7"/>
        <v>2.3872679045092835</v>
      </c>
      <c r="BL66" s="2">
        <v>148</v>
      </c>
      <c r="BM66" s="1">
        <f t="shared" si="8"/>
        <v>1.9628647214854109</v>
      </c>
      <c r="BN66" s="2">
        <v>155</v>
      </c>
      <c r="BO66" s="1">
        <f t="shared" si="9"/>
        <v>2.0557029177718831</v>
      </c>
      <c r="BP66" s="2">
        <v>152</v>
      </c>
      <c r="BQ66" s="1">
        <f t="shared" si="10"/>
        <v>2.0159151193633953</v>
      </c>
      <c r="BR66" s="2">
        <v>114</v>
      </c>
      <c r="BS66" s="1">
        <f t="shared" si="11"/>
        <v>1.5119363395225462</v>
      </c>
      <c r="BT66" s="2">
        <v>175</v>
      </c>
      <c r="BU66" s="1">
        <f t="shared" si="12"/>
        <v>2.3209549071618034</v>
      </c>
      <c r="BV66" s="2">
        <v>175</v>
      </c>
      <c r="BW66" s="1">
        <f t="shared" si="39"/>
        <v>2.3209549071618034</v>
      </c>
      <c r="BX66" s="1">
        <f t="shared" si="14"/>
        <v>1.10062893081761</v>
      </c>
      <c r="BY66" s="1">
        <f t="shared" si="18"/>
        <v>0.97222222222222221</v>
      </c>
    </row>
    <row r="67" spans="1:77" ht="14.25" customHeight="1">
      <c r="A67" s="26" t="s">
        <v>164</v>
      </c>
      <c r="B67" s="2">
        <v>56</v>
      </c>
      <c r="C67" s="2" t="s">
        <v>83</v>
      </c>
      <c r="D67" s="10" t="s">
        <v>84</v>
      </c>
      <c r="E67" s="2" t="s">
        <v>87</v>
      </c>
      <c r="F67" s="9">
        <v>39821</v>
      </c>
      <c r="G67" s="12" t="s">
        <v>147</v>
      </c>
      <c r="H67" s="8">
        <v>17</v>
      </c>
      <c r="I67" s="2">
        <v>66</v>
      </c>
      <c r="J67" s="2">
        <v>173</v>
      </c>
      <c r="K67" s="1"/>
      <c r="L67" s="1"/>
      <c r="M67" s="9" t="s">
        <v>166</v>
      </c>
      <c r="N67" s="2">
        <v>825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>
        <f t="shared" si="34"/>
        <v>0</v>
      </c>
      <c r="AK67" s="1"/>
      <c r="AL67" s="1"/>
      <c r="AM67" s="2">
        <v>34</v>
      </c>
      <c r="AN67" s="2">
        <v>1621</v>
      </c>
      <c r="AO67" s="2">
        <v>7352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0"/>
        <v>0</v>
      </c>
      <c r="BF67" s="1"/>
      <c r="BG67" s="1">
        <f t="shared" si="5"/>
        <v>0</v>
      </c>
      <c r="BH67" s="1"/>
      <c r="BI67" s="1">
        <f t="shared" si="6"/>
        <v>0</v>
      </c>
      <c r="BJ67" s="1"/>
      <c r="BK67" s="1">
        <f t="shared" si="7"/>
        <v>0</v>
      </c>
      <c r="BL67" s="1"/>
      <c r="BM67" s="1">
        <f t="shared" si="8"/>
        <v>0</v>
      </c>
      <c r="BO67" s="1">
        <f t="shared" si="9"/>
        <v>0</v>
      </c>
      <c r="BP67" s="1"/>
      <c r="BQ67" s="1">
        <f t="shared" si="10"/>
        <v>0</v>
      </c>
      <c r="BR67" s="1"/>
      <c r="BS67" s="1">
        <f t="shared" si="11"/>
        <v>0</v>
      </c>
      <c r="BT67" s="1"/>
      <c r="BU67" s="1">
        <f t="shared" si="12"/>
        <v>0</v>
      </c>
      <c r="BV67" s="1"/>
      <c r="BW67" s="1">
        <f t="shared" si="39"/>
        <v>0</v>
      </c>
      <c r="BX67" s="1" t="e">
        <f t="shared" si="14"/>
        <v>#DIV/0!</v>
      </c>
      <c r="BY67" s="1" t="e">
        <f t="shared" si="18"/>
        <v>#DIV/0!</v>
      </c>
    </row>
    <row r="68" spans="1:77" ht="14.25" customHeight="1">
      <c r="A68" s="2" t="s">
        <v>165</v>
      </c>
      <c r="B68" s="2">
        <v>73</v>
      </c>
      <c r="C68" s="2" t="s">
        <v>83</v>
      </c>
      <c r="D68" s="10" t="s">
        <v>84</v>
      </c>
      <c r="E68" s="2" t="s">
        <v>87</v>
      </c>
      <c r="F68" s="9">
        <v>39244</v>
      </c>
      <c r="G68" s="8" t="s">
        <v>122</v>
      </c>
      <c r="H68" s="12">
        <v>19</v>
      </c>
      <c r="I68" s="2">
        <v>80.099999999999994</v>
      </c>
      <c r="J68" s="2">
        <v>183</v>
      </c>
      <c r="K68" s="1"/>
      <c r="L68" s="27">
        <v>46197</v>
      </c>
      <c r="M68" s="9" t="s">
        <v>166</v>
      </c>
      <c r="N68" s="2">
        <v>1181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0"/>
        <v>0</v>
      </c>
      <c r="Z68" s="1">
        <f t="shared" si="31"/>
        <v>0</v>
      </c>
      <c r="AA68" s="1" t="e">
        <f t="shared" si="32"/>
        <v>#DIV/0!</v>
      </c>
      <c r="AB68" s="1"/>
      <c r="AC68" s="1"/>
      <c r="AD68" s="1"/>
      <c r="AE68" s="1"/>
      <c r="AF68" s="1"/>
      <c r="AG68" s="1"/>
      <c r="AH68" s="1">
        <f t="shared" si="33"/>
        <v>0</v>
      </c>
      <c r="AI68" s="1"/>
      <c r="AJ68" s="1"/>
      <c r="AK68" s="1"/>
      <c r="AL68" s="1"/>
      <c r="AM68" s="2">
        <v>37.200000000000003</v>
      </c>
      <c r="AN68" s="2">
        <v>1817</v>
      </c>
      <c r="AO68" s="2">
        <v>7078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5"/>
      <c r="B69" s="6">
        <v>48</v>
      </c>
      <c r="C69" s="6" t="s">
        <v>83</v>
      </c>
      <c r="D69" s="6" t="s">
        <v>84</v>
      </c>
      <c r="E69" s="6" t="s">
        <v>87</v>
      </c>
      <c r="F69" s="15">
        <v>39832</v>
      </c>
      <c r="G69" s="8" t="s">
        <v>81</v>
      </c>
      <c r="H69" s="6">
        <v>17</v>
      </c>
      <c r="I69" s="2">
        <v>63.7</v>
      </c>
      <c r="J69" s="2">
        <v>167</v>
      </c>
      <c r="K69" s="1"/>
      <c r="L69" s="27">
        <v>46214</v>
      </c>
      <c r="M69" s="9"/>
      <c r="N69" s="1"/>
      <c r="O69" s="1"/>
      <c r="P69" s="1"/>
      <c r="Q69" s="2">
        <v>11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5"/>
      <c r="B70" s="6">
        <v>87</v>
      </c>
      <c r="C70" s="10" t="s">
        <v>83</v>
      </c>
      <c r="D70" s="10" t="s">
        <v>93</v>
      </c>
      <c r="E70" s="10" t="s">
        <v>94</v>
      </c>
      <c r="F70" s="17">
        <v>39041</v>
      </c>
      <c r="G70" s="12" t="s">
        <v>81</v>
      </c>
      <c r="H70" s="13">
        <v>19</v>
      </c>
      <c r="I70" s="1"/>
      <c r="J70" s="1"/>
      <c r="K70" s="1"/>
      <c r="L70" s="1"/>
      <c r="M70" s="9"/>
      <c r="N70" s="1"/>
      <c r="O70" s="1"/>
      <c r="P70" s="1"/>
      <c r="Q70" s="2">
        <v>9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5"/>
      <c r="B71" s="6">
        <v>30</v>
      </c>
      <c r="C71" s="6" t="s">
        <v>83</v>
      </c>
      <c r="D71" s="6" t="s">
        <v>93</v>
      </c>
      <c r="E71" s="6" t="s">
        <v>106</v>
      </c>
      <c r="F71" s="15">
        <v>37888</v>
      </c>
      <c r="G71" s="8" t="s">
        <v>81</v>
      </c>
      <c r="H71" s="5">
        <v>22</v>
      </c>
      <c r="I71" s="1"/>
      <c r="J71" s="1"/>
      <c r="K71" s="1"/>
      <c r="L71" s="1"/>
      <c r="M71" s="9"/>
      <c r="N71" s="1"/>
      <c r="O71" s="2">
        <v>40.299999999999997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5"/>
      <c r="B72" s="6">
        <v>18</v>
      </c>
      <c r="C72" s="6" t="s">
        <v>78</v>
      </c>
      <c r="D72" s="6" t="s">
        <v>79</v>
      </c>
      <c r="E72" s="6" t="s">
        <v>80</v>
      </c>
      <c r="F72" s="7">
        <v>35780</v>
      </c>
      <c r="G72" s="8" t="s">
        <v>81</v>
      </c>
      <c r="H72" s="5">
        <v>28</v>
      </c>
      <c r="I72" s="1"/>
      <c r="J72" s="1"/>
      <c r="K72" s="1"/>
      <c r="L72" s="28">
        <v>46219</v>
      </c>
      <c r="M72" s="29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5"/>
      <c r="B73" s="6"/>
      <c r="C73" s="6"/>
      <c r="D73" s="6"/>
      <c r="E73" s="6"/>
      <c r="F73" s="7"/>
      <c r="G73" s="8"/>
      <c r="H73" s="5"/>
      <c r="I73" s="1"/>
      <c r="J73" s="1"/>
      <c r="K73" s="1"/>
      <c r="L73" s="2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2026-07-27T07:56:34Z</dcterms:modified>
</cp:coreProperties>
</file>