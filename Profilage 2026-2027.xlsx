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oi\Documents\Pofilage Saison 2026-2027\reims_profiling\"/>
    </mc:Choice>
  </mc:AlternateContent>
  <xr:revisionPtr revIDLastSave="0" documentId="13_ncr:1_{61748F6B-C5C5-4514-A783-DF81E188A8C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euil1" sheetId="1" r:id="rId1"/>
    <sheet name="Joueurs" sheetId="2" r:id="rId2"/>
    <sheet name="Tests complémentaires" sheetId="3" r:id="rId3"/>
    <sheet name="Blessu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gaQxakWrvVfqIygJ3sXq+SKTMi2dY/KCPRB2yNUUDE="/>
    </ext>
  </extLst>
</workbook>
</file>

<file path=xl/calcChain.xml><?xml version="1.0" encoding="utf-8"?>
<calcChain xmlns="http://schemas.openxmlformats.org/spreadsheetml/2006/main">
  <c r="K153" i="1" l="1"/>
  <c r="J153" i="1"/>
  <c r="I153" i="1"/>
  <c r="H153" i="1"/>
  <c r="G153" i="1"/>
  <c r="F153" i="1"/>
  <c r="E153" i="1"/>
  <c r="D153" i="1"/>
  <c r="C153" i="1"/>
  <c r="B153" i="1"/>
  <c r="K152" i="1"/>
  <c r="J152" i="1"/>
  <c r="I152" i="1"/>
  <c r="H152" i="1"/>
  <c r="G152" i="1"/>
  <c r="F152" i="1"/>
  <c r="E152" i="1"/>
  <c r="D152" i="1"/>
  <c r="C152" i="1"/>
  <c r="B152" i="1"/>
  <c r="K151" i="1"/>
  <c r="J151" i="1"/>
  <c r="I151" i="1"/>
  <c r="H151" i="1"/>
  <c r="G151" i="1"/>
  <c r="F151" i="1"/>
  <c r="E151" i="1"/>
  <c r="D151" i="1"/>
  <c r="C151" i="1"/>
  <c r="B151" i="1"/>
  <c r="K150" i="1"/>
  <c r="J150" i="1"/>
  <c r="I150" i="1"/>
  <c r="H150" i="1"/>
  <c r="G150" i="1"/>
  <c r="F150" i="1"/>
  <c r="E150" i="1"/>
  <c r="D150" i="1"/>
  <c r="C150" i="1"/>
  <c r="B150" i="1"/>
  <c r="K149" i="1"/>
  <c r="J149" i="1"/>
  <c r="I149" i="1"/>
  <c r="H149" i="1"/>
  <c r="G149" i="1"/>
  <c r="F149" i="1"/>
  <c r="E149" i="1"/>
  <c r="D149" i="1"/>
  <c r="C149" i="1"/>
  <c r="B149" i="1"/>
  <c r="K148" i="1"/>
  <c r="J148" i="1"/>
  <c r="I148" i="1"/>
  <c r="H148" i="1"/>
  <c r="G148" i="1"/>
  <c r="F148" i="1"/>
  <c r="E148" i="1"/>
  <c r="D148" i="1"/>
  <c r="C148" i="1"/>
  <c r="B148" i="1"/>
  <c r="K147" i="1"/>
  <c r="J147" i="1"/>
  <c r="I147" i="1"/>
  <c r="H147" i="1"/>
  <c r="G147" i="1"/>
  <c r="F147" i="1"/>
  <c r="E147" i="1"/>
  <c r="D147" i="1"/>
  <c r="C147" i="1"/>
  <c r="B147" i="1"/>
  <c r="K146" i="1"/>
  <c r="J146" i="1"/>
  <c r="I146" i="1"/>
  <c r="H146" i="1"/>
  <c r="G146" i="1"/>
  <c r="F146" i="1"/>
  <c r="E146" i="1"/>
  <c r="D146" i="1"/>
  <c r="C146" i="1"/>
  <c r="B146" i="1"/>
  <c r="K145" i="1"/>
  <c r="J145" i="1"/>
  <c r="I145" i="1"/>
  <c r="H145" i="1"/>
  <c r="G145" i="1"/>
  <c r="F145" i="1"/>
  <c r="E145" i="1"/>
  <c r="D145" i="1"/>
  <c r="C145" i="1"/>
  <c r="B145" i="1"/>
  <c r="K144" i="1"/>
  <c r="J144" i="1"/>
  <c r="I144" i="1"/>
  <c r="H144" i="1"/>
  <c r="G144" i="1"/>
  <c r="F144" i="1"/>
  <c r="E144" i="1"/>
  <c r="D144" i="1"/>
  <c r="C144" i="1"/>
  <c r="B144" i="1"/>
  <c r="K143" i="1"/>
  <c r="J143" i="1"/>
  <c r="I143" i="1"/>
  <c r="H143" i="1"/>
  <c r="G143" i="1"/>
  <c r="F143" i="1"/>
  <c r="E143" i="1"/>
  <c r="D143" i="1"/>
  <c r="C143" i="1"/>
  <c r="B143" i="1"/>
  <c r="K142" i="1"/>
  <c r="J142" i="1"/>
  <c r="I142" i="1"/>
  <c r="H142" i="1"/>
  <c r="G142" i="1"/>
  <c r="F142" i="1"/>
  <c r="E142" i="1"/>
  <c r="D142" i="1"/>
  <c r="C142" i="1"/>
  <c r="B142" i="1"/>
  <c r="K141" i="1"/>
  <c r="J141" i="1"/>
  <c r="I141" i="1"/>
  <c r="H141" i="1"/>
  <c r="G141" i="1"/>
  <c r="F141" i="1"/>
  <c r="E141" i="1"/>
  <c r="D141" i="1"/>
  <c r="C141" i="1"/>
  <c r="B141" i="1"/>
  <c r="K140" i="1"/>
  <c r="J140" i="1"/>
  <c r="I140" i="1"/>
  <c r="H140" i="1"/>
  <c r="G140" i="1"/>
  <c r="F140" i="1"/>
  <c r="E140" i="1"/>
  <c r="D140" i="1"/>
  <c r="C140" i="1"/>
  <c r="B140" i="1"/>
  <c r="K139" i="1"/>
  <c r="J139" i="1"/>
  <c r="I139" i="1"/>
  <c r="H139" i="1"/>
  <c r="G139" i="1"/>
  <c r="F139" i="1"/>
  <c r="E139" i="1"/>
  <c r="D139" i="1"/>
  <c r="C139" i="1"/>
  <c r="B139" i="1"/>
  <c r="K138" i="1"/>
  <c r="J138" i="1"/>
  <c r="I138" i="1"/>
  <c r="H138" i="1"/>
  <c r="G138" i="1"/>
  <c r="F138" i="1"/>
  <c r="E138" i="1"/>
  <c r="D138" i="1"/>
  <c r="C138" i="1"/>
  <c r="B138" i="1"/>
  <c r="K137" i="1"/>
  <c r="J137" i="1"/>
  <c r="I137" i="1"/>
  <c r="H137" i="1"/>
  <c r="G137" i="1"/>
  <c r="F137" i="1"/>
  <c r="E137" i="1"/>
  <c r="D137" i="1"/>
  <c r="C137" i="1"/>
  <c r="B137" i="1"/>
  <c r="K136" i="1"/>
  <c r="J136" i="1"/>
  <c r="I136" i="1"/>
  <c r="H136" i="1"/>
  <c r="G136" i="1"/>
  <c r="F136" i="1"/>
  <c r="E136" i="1"/>
  <c r="D136" i="1"/>
  <c r="C136" i="1"/>
  <c r="B136" i="1"/>
  <c r="AA135" i="1"/>
  <c r="K135" i="1"/>
  <c r="J135" i="1"/>
  <c r="I135" i="1"/>
  <c r="H135" i="1"/>
  <c r="G135" i="1"/>
  <c r="F135" i="1"/>
  <c r="E135" i="1"/>
  <c r="D135" i="1"/>
  <c r="C135" i="1"/>
  <c r="B135" i="1"/>
  <c r="AA134" i="1"/>
  <c r="K134" i="1"/>
  <c r="J134" i="1"/>
  <c r="I134" i="1"/>
  <c r="H134" i="1"/>
  <c r="G134" i="1"/>
  <c r="F134" i="1"/>
  <c r="E134" i="1"/>
  <c r="D134" i="1"/>
  <c r="C134" i="1"/>
  <c r="B134" i="1"/>
  <c r="AA133" i="1"/>
  <c r="K133" i="1"/>
  <c r="J133" i="1"/>
  <c r="I133" i="1"/>
  <c r="H133" i="1"/>
  <c r="G133" i="1"/>
  <c r="F133" i="1"/>
  <c r="E133" i="1"/>
  <c r="D133" i="1"/>
  <c r="C133" i="1"/>
  <c r="B133" i="1"/>
  <c r="AA132" i="1"/>
  <c r="K132" i="1"/>
  <c r="J132" i="1"/>
  <c r="I132" i="1"/>
  <c r="H132" i="1"/>
  <c r="G132" i="1"/>
  <c r="F132" i="1"/>
  <c r="E132" i="1"/>
  <c r="D132" i="1"/>
  <c r="C132" i="1"/>
  <c r="B132" i="1"/>
  <c r="AA131" i="1"/>
  <c r="K131" i="1"/>
  <c r="J131" i="1"/>
  <c r="I131" i="1"/>
  <c r="BE131" i="1" s="1"/>
  <c r="H131" i="1"/>
  <c r="G131" i="1"/>
  <c r="F131" i="1"/>
  <c r="E131" i="1"/>
  <c r="D131" i="1"/>
  <c r="C131" i="1"/>
  <c r="B131" i="1"/>
  <c r="AA130" i="1"/>
  <c r="K130" i="1"/>
  <c r="J130" i="1"/>
  <c r="I130" i="1"/>
  <c r="BE130" i="1" s="1"/>
  <c r="H130" i="1"/>
  <c r="G130" i="1"/>
  <c r="F130" i="1"/>
  <c r="E130" i="1"/>
  <c r="D130" i="1"/>
  <c r="C130" i="1"/>
  <c r="B130" i="1"/>
  <c r="AA129" i="1"/>
  <c r="K129" i="1"/>
  <c r="J129" i="1"/>
  <c r="I129" i="1"/>
  <c r="BE129" i="1" s="1"/>
  <c r="H129" i="1"/>
  <c r="G129" i="1"/>
  <c r="F129" i="1"/>
  <c r="E129" i="1"/>
  <c r="D129" i="1"/>
  <c r="C129" i="1"/>
  <c r="B129" i="1"/>
  <c r="AA128" i="1"/>
  <c r="K128" i="1"/>
  <c r="J128" i="1"/>
  <c r="I128" i="1"/>
  <c r="BE128" i="1" s="1"/>
  <c r="H128" i="1"/>
  <c r="G128" i="1"/>
  <c r="F128" i="1"/>
  <c r="E128" i="1"/>
  <c r="D128" i="1"/>
  <c r="C128" i="1"/>
  <c r="B128" i="1"/>
  <c r="AA127" i="1"/>
  <c r="K127" i="1"/>
  <c r="J127" i="1"/>
  <c r="I127" i="1"/>
  <c r="BE127" i="1" s="1"/>
  <c r="H127" i="1"/>
  <c r="G127" i="1"/>
  <c r="F127" i="1"/>
  <c r="E127" i="1"/>
  <c r="D127" i="1"/>
  <c r="C127" i="1"/>
  <c r="B127" i="1"/>
  <c r="AA126" i="1"/>
  <c r="K126" i="1"/>
  <c r="J126" i="1"/>
  <c r="I126" i="1"/>
  <c r="BS126" i="1" s="1"/>
  <c r="H126" i="1"/>
  <c r="G126" i="1"/>
  <c r="F126" i="1"/>
  <c r="E126" i="1"/>
  <c r="D126" i="1"/>
  <c r="C126" i="1"/>
  <c r="B126" i="1"/>
  <c r="AA125" i="1"/>
  <c r="K125" i="1"/>
  <c r="J125" i="1"/>
  <c r="I125" i="1"/>
  <c r="BE125" i="1" s="1"/>
  <c r="H125" i="1"/>
  <c r="G125" i="1"/>
  <c r="F125" i="1"/>
  <c r="E125" i="1"/>
  <c r="D125" i="1"/>
  <c r="C125" i="1"/>
  <c r="B125" i="1"/>
  <c r="AA124" i="1"/>
  <c r="Z124" i="1"/>
  <c r="Y124" i="1"/>
  <c r="K124" i="1"/>
  <c r="J124" i="1"/>
  <c r="I124" i="1"/>
  <c r="BE124" i="1" s="1"/>
  <c r="H124" i="1"/>
  <c r="G124" i="1"/>
  <c r="F124" i="1"/>
  <c r="E124" i="1"/>
  <c r="D124" i="1"/>
  <c r="C124" i="1"/>
  <c r="B124" i="1"/>
  <c r="AA123" i="1"/>
  <c r="Z123" i="1"/>
  <c r="Y123" i="1"/>
  <c r="K123" i="1"/>
  <c r="J123" i="1"/>
  <c r="I123" i="1"/>
  <c r="BE123" i="1" s="1"/>
  <c r="H123" i="1"/>
  <c r="G123" i="1"/>
  <c r="F123" i="1"/>
  <c r="E123" i="1"/>
  <c r="D123" i="1"/>
  <c r="C123" i="1"/>
  <c r="B123" i="1"/>
  <c r="Z122" i="1"/>
  <c r="Y122" i="1"/>
  <c r="AA122" i="1" s="1"/>
  <c r="K122" i="1"/>
  <c r="J122" i="1"/>
  <c r="I122" i="1"/>
  <c r="BS122" i="1" s="1"/>
  <c r="H122" i="1"/>
  <c r="G122" i="1"/>
  <c r="F122" i="1"/>
  <c r="E122" i="1"/>
  <c r="D122" i="1"/>
  <c r="C122" i="1"/>
  <c r="B122" i="1"/>
  <c r="Z121" i="1"/>
  <c r="Y121" i="1"/>
  <c r="AA121" i="1" s="1"/>
  <c r="K121" i="1"/>
  <c r="J121" i="1"/>
  <c r="I121" i="1"/>
  <c r="BS121" i="1" s="1"/>
  <c r="H121" i="1"/>
  <c r="G121" i="1"/>
  <c r="F121" i="1"/>
  <c r="E121" i="1"/>
  <c r="D121" i="1"/>
  <c r="C121" i="1"/>
  <c r="B121" i="1"/>
  <c r="Z120" i="1"/>
  <c r="Y120" i="1"/>
  <c r="AA120" i="1" s="1"/>
  <c r="K120" i="1"/>
  <c r="J120" i="1"/>
  <c r="I120" i="1"/>
  <c r="BS120" i="1" s="1"/>
  <c r="H120" i="1"/>
  <c r="G120" i="1"/>
  <c r="F120" i="1"/>
  <c r="E120" i="1"/>
  <c r="D120" i="1"/>
  <c r="C120" i="1"/>
  <c r="B120" i="1"/>
  <c r="Z119" i="1"/>
  <c r="Y119" i="1"/>
  <c r="AA119" i="1" s="1"/>
  <c r="K119" i="1"/>
  <c r="J119" i="1"/>
  <c r="I119" i="1"/>
  <c r="BU119" i="1" s="1"/>
  <c r="H119" i="1"/>
  <c r="G119" i="1"/>
  <c r="F119" i="1"/>
  <c r="E119" i="1"/>
  <c r="D119" i="1"/>
  <c r="C119" i="1"/>
  <c r="B119" i="1"/>
  <c r="Z118" i="1"/>
  <c r="Y118" i="1"/>
  <c r="AA118" i="1" s="1"/>
  <c r="K118" i="1"/>
  <c r="J118" i="1"/>
  <c r="I118" i="1"/>
  <c r="BS118" i="1" s="1"/>
  <c r="H118" i="1"/>
  <c r="G118" i="1"/>
  <c r="F118" i="1"/>
  <c r="E118" i="1"/>
  <c r="D118" i="1"/>
  <c r="C118" i="1"/>
  <c r="B118" i="1"/>
  <c r="BY117" i="1"/>
  <c r="BX117" i="1"/>
  <c r="AA117" i="1"/>
  <c r="Z117" i="1"/>
  <c r="Y117" i="1"/>
  <c r="K117" i="1"/>
  <c r="J117" i="1"/>
  <c r="I117" i="1"/>
  <c r="BW117" i="1" s="1"/>
  <c r="H117" i="1"/>
  <c r="G117" i="1"/>
  <c r="F117" i="1"/>
  <c r="E117" i="1"/>
  <c r="D117" i="1"/>
  <c r="C117" i="1"/>
  <c r="B117" i="1"/>
  <c r="BY116" i="1"/>
  <c r="BX116" i="1"/>
  <c r="AA116" i="1"/>
  <c r="Z116" i="1"/>
  <c r="Y116" i="1"/>
  <c r="K116" i="1"/>
  <c r="J116" i="1"/>
  <c r="I116" i="1"/>
  <c r="BW116" i="1" s="1"/>
  <c r="H116" i="1"/>
  <c r="G116" i="1"/>
  <c r="F116" i="1"/>
  <c r="E116" i="1"/>
  <c r="D116" i="1"/>
  <c r="C116" i="1"/>
  <c r="B116" i="1"/>
  <c r="BY115" i="1"/>
  <c r="BX115" i="1"/>
  <c r="Z115" i="1"/>
  <c r="Y115" i="1"/>
  <c r="AA115" i="1" s="1"/>
  <c r="K115" i="1"/>
  <c r="J115" i="1"/>
  <c r="I115" i="1"/>
  <c r="BS115" i="1" s="1"/>
  <c r="H115" i="1"/>
  <c r="G115" i="1"/>
  <c r="F115" i="1"/>
  <c r="E115" i="1"/>
  <c r="D115" i="1"/>
  <c r="C115" i="1"/>
  <c r="B115" i="1"/>
  <c r="BY114" i="1"/>
  <c r="BX114" i="1"/>
  <c r="Z114" i="1"/>
  <c r="AA114" i="1" s="1"/>
  <c r="Y114" i="1"/>
  <c r="K114" i="1"/>
  <c r="J114" i="1"/>
  <c r="I114" i="1"/>
  <c r="BO114" i="1" s="1"/>
  <c r="H114" i="1"/>
  <c r="G114" i="1"/>
  <c r="F114" i="1"/>
  <c r="E114" i="1"/>
  <c r="D114" i="1"/>
  <c r="C114" i="1"/>
  <c r="B114" i="1"/>
  <c r="BY113" i="1"/>
  <c r="BX113" i="1"/>
  <c r="Z113" i="1"/>
  <c r="Y113" i="1"/>
  <c r="AA113" i="1" s="1"/>
  <c r="K113" i="1"/>
  <c r="J113" i="1"/>
  <c r="I113" i="1"/>
  <c r="BO113" i="1" s="1"/>
  <c r="H113" i="1"/>
  <c r="G113" i="1"/>
  <c r="F113" i="1"/>
  <c r="E113" i="1"/>
  <c r="D113" i="1"/>
  <c r="C113" i="1"/>
  <c r="B113" i="1"/>
  <c r="BY112" i="1"/>
  <c r="BX112" i="1"/>
  <c r="AA112" i="1"/>
  <c r="Z112" i="1"/>
  <c r="Y112" i="1"/>
  <c r="K112" i="1"/>
  <c r="J112" i="1"/>
  <c r="I112" i="1"/>
  <c r="BU112" i="1" s="1"/>
  <c r="H112" i="1"/>
  <c r="G112" i="1"/>
  <c r="F112" i="1"/>
  <c r="E112" i="1"/>
  <c r="D112" i="1"/>
  <c r="C112" i="1"/>
  <c r="B112" i="1"/>
  <c r="BY111" i="1"/>
  <c r="BX111" i="1"/>
  <c r="Z111" i="1"/>
  <c r="AA111" i="1" s="1"/>
  <c r="Y111" i="1"/>
  <c r="K111" i="1"/>
  <c r="J111" i="1"/>
  <c r="I111" i="1"/>
  <c r="BS111" i="1" s="1"/>
  <c r="H111" i="1"/>
  <c r="G111" i="1"/>
  <c r="F111" i="1"/>
  <c r="E111" i="1"/>
  <c r="D111" i="1"/>
  <c r="C111" i="1"/>
  <c r="B111" i="1"/>
  <c r="BY110" i="1"/>
  <c r="BX110" i="1"/>
  <c r="Z110" i="1"/>
  <c r="Y110" i="1"/>
  <c r="AA110" i="1" s="1"/>
  <c r="K110" i="1"/>
  <c r="J110" i="1"/>
  <c r="I110" i="1"/>
  <c r="BE110" i="1" s="1"/>
  <c r="H110" i="1"/>
  <c r="G110" i="1"/>
  <c r="F110" i="1"/>
  <c r="E110" i="1"/>
  <c r="D110" i="1"/>
  <c r="C110" i="1"/>
  <c r="B110" i="1"/>
  <c r="BY109" i="1"/>
  <c r="BX109" i="1"/>
  <c r="AA109" i="1"/>
  <c r="Z109" i="1"/>
  <c r="Y109" i="1"/>
  <c r="K109" i="1"/>
  <c r="J109" i="1"/>
  <c r="I109" i="1"/>
  <c r="BW109" i="1" s="1"/>
  <c r="H109" i="1"/>
  <c r="G109" i="1"/>
  <c r="F109" i="1"/>
  <c r="E109" i="1"/>
  <c r="D109" i="1"/>
  <c r="C109" i="1"/>
  <c r="B109" i="1"/>
  <c r="BY108" i="1"/>
  <c r="BX108" i="1"/>
  <c r="Z108" i="1"/>
  <c r="Y108" i="1"/>
  <c r="AA108" i="1" s="1"/>
  <c r="K108" i="1"/>
  <c r="J108" i="1"/>
  <c r="I108" i="1"/>
  <c r="BG108" i="1" s="1"/>
  <c r="H108" i="1"/>
  <c r="G108" i="1"/>
  <c r="F108" i="1"/>
  <c r="E108" i="1"/>
  <c r="D108" i="1"/>
  <c r="C108" i="1"/>
  <c r="B108" i="1"/>
  <c r="BY107" i="1"/>
  <c r="BX107" i="1"/>
  <c r="Z107" i="1"/>
  <c r="AA107" i="1" s="1"/>
  <c r="Y107" i="1"/>
  <c r="K107" i="1"/>
  <c r="J107" i="1"/>
  <c r="I107" i="1"/>
  <c r="BS107" i="1" s="1"/>
  <c r="H107" i="1"/>
  <c r="G107" i="1"/>
  <c r="F107" i="1"/>
  <c r="E107" i="1"/>
  <c r="D107" i="1"/>
  <c r="C107" i="1"/>
  <c r="B107" i="1"/>
  <c r="BY106" i="1"/>
  <c r="BX106" i="1"/>
  <c r="Z106" i="1"/>
  <c r="AA106" i="1" s="1"/>
  <c r="Y106" i="1"/>
  <c r="K106" i="1"/>
  <c r="J106" i="1"/>
  <c r="I106" i="1"/>
  <c r="BK106" i="1" s="1"/>
  <c r="H106" i="1"/>
  <c r="G106" i="1"/>
  <c r="F106" i="1"/>
  <c r="E106" i="1"/>
  <c r="D106" i="1"/>
  <c r="C106" i="1"/>
  <c r="B106" i="1"/>
  <c r="BY105" i="1"/>
  <c r="BX105" i="1"/>
  <c r="Z105" i="1"/>
  <c r="AA105" i="1" s="1"/>
  <c r="Y105" i="1"/>
  <c r="K105" i="1"/>
  <c r="J105" i="1"/>
  <c r="I105" i="1"/>
  <c r="BU105" i="1" s="1"/>
  <c r="H105" i="1"/>
  <c r="G105" i="1"/>
  <c r="F105" i="1"/>
  <c r="E105" i="1"/>
  <c r="D105" i="1"/>
  <c r="C105" i="1"/>
  <c r="B105" i="1"/>
  <c r="BY104" i="1"/>
  <c r="BX104" i="1"/>
  <c r="Z104" i="1"/>
  <c r="Y104" i="1"/>
  <c r="AA104" i="1" s="1"/>
  <c r="K104" i="1"/>
  <c r="J104" i="1"/>
  <c r="I104" i="1"/>
  <c r="BO104" i="1" s="1"/>
  <c r="H104" i="1"/>
  <c r="G104" i="1"/>
  <c r="F104" i="1"/>
  <c r="E104" i="1"/>
  <c r="D104" i="1"/>
  <c r="C104" i="1"/>
  <c r="B104" i="1"/>
  <c r="BY103" i="1"/>
  <c r="BX103" i="1"/>
  <c r="AA103" i="1"/>
  <c r="Z103" i="1"/>
  <c r="Y103" i="1"/>
  <c r="K103" i="1"/>
  <c r="J103" i="1"/>
  <c r="I103" i="1"/>
  <c r="BU103" i="1" s="1"/>
  <c r="H103" i="1"/>
  <c r="G103" i="1"/>
  <c r="F103" i="1"/>
  <c r="E103" i="1"/>
  <c r="D103" i="1"/>
  <c r="C103" i="1"/>
  <c r="B103" i="1"/>
  <c r="BY102" i="1"/>
  <c r="BX102" i="1"/>
  <c r="Z102" i="1"/>
  <c r="AA102" i="1" s="1"/>
  <c r="Y102" i="1"/>
  <c r="K102" i="1"/>
  <c r="J102" i="1"/>
  <c r="I102" i="1"/>
  <c r="BS102" i="1" s="1"/>
  <c r="H102" i="1"/>
  <c r="G102" i="1"/>
  <c r="F102" i="1"/>
  <c r="E102" i="1"/>
  <c r="D102" i="1"/>
  <c r="C102" i="1"/>
  <c r="B102" i="1"/>
  <c r="BY101" i="1"/>
  <c r="BX101" i="1"/>
  <c r="Z101" i="1"/>
  <c r="Y101" i="1"/>
  <c r="AA101" i="1" s="1"/>
  <c r="K101" i="1"/>
  <c r="J101" i="1"/>
  <c r="I101" i="1"/>
  <c r="BE101" i="1" s="1"/>
  <c r="H101" i="1"/>
  <c r="G101" i="1"/>
  <c r="F101" i="1"/>
  <c r="E101" i="1"/>
  <c r="D101" i="1"/>
  <c r="C101" i="1"/>
  <c r="B101" i="1"/>
  <c r="BY100" i="1"/>
  <c r="BX100" i="1"/>
  <c r="AA100" i="1"/>
  <c r="Z100" i="1"/>
  <c r="Y100" i="1"/>
  <c r="K100" i="1"/>
  <c r="J100" i="1"/>
  <c r="I100" i="1"/>
  <c r="BW100" i="1" s="1"/>
  <c r="H100" i="1"/>
  <c r="G100" i="1"/>
  <c r="F100" i="1"/>
  <c r="E100" i="1"/>
  <c r="D100" i="1"/>
  <c r="C100" i="1"/>
  <c r="B100" i="1"/>
  <c r="BY99" i="1"/>
  <c r="BX99" i="1"/>
  <c r="Z99" i="1"/>
  <c r="Y99" i="1"/>
  <c r="AA99" i="1" s="1"/>
  <c r="K99" i="1"/>
  <c r="J99" i="1"/>
  <c r="I99" i="1"/>
  <c r="BG99" i="1" s="1"/>
  <c r="H99" i="1"/>
  <c r="G99" i="1"/>
  <c r="F99" i="1"/>
  <c r="E99" i="1"/>
  <c r="D99" i="1"/>
  <c r="C99" i="1"/>
  <c r="B99" i="1"/>
  <c r="BY98" i="1"/>
  <c r="BX98" i="1"/>
  <c r="Z98" i="1"/>
  <c r="AA98" i="1" s="1"/>
  <c r="Y98" i="1"/>
  <c r="K98" i="1"/>
  <c r="J98" i="1"/>
  <c r="I98" i="1"/>
  <c r="BI98" i="1" s="1"/>
  <c r="H98" i="1"/>
  <c r="G98" i="1"/>
  <c r="F98" i="1"/>
  <c r="E98" i="1"/>
  <c r="D98" i="1"/>
  <c r="C98" i="1"/>
  <c r="B98" i="1"/>
  <c r="BY97" i="1"/>
  <c r="BX97" i="1"/>
  <c r="Z97" i="1"/>
  <c r="AA97" i="1" s="1"/>
  <c r="Y97" i="1"/>
  <c r="K97" i="1"/>
  <c r="J97" i="1"/>
  <c r="I97" i="1"/>
  <c r="BK97" i="1" s="1"/>
  <c r="H97" i="1"/>
  <c r="G97" i="1"/>
  <c r="F97" i="1"/>
  <c r="E97" i="1"/>
  <c r="D97" i="1"/>
  <c r="C97" i="1"/>
  <c r="B97" i="1"/>
  <c r="BY96" i="1"/>
  <c r="BX96" i="1"/>
  <c r="Z96" i="1"/>
  <c r="AA96" i="1" s="1"/>
  <c r="Y96" i="1"/>
  <c r="K96" i="1"/>
  <c r="J96" i="1"/>
  <c r="I96" i="1"/>
  <c r="BU96" i="1" s="1"/>
  <c r="H96" i="1"/>
  <c r="G96" i="1"/>
  <c r="F96" i="1"/>
  <c r="E96" i="1"/>
  <c r="D96" i="1"/>
  <c r="C96" i="1"/>
  <c r="B96" i="1"/>
  <c r="BY95" i="1"/>
  <c r="BX95" i="1"/>
  <c r="Z95" i="1"/>
  <c r="Y95" i="1"/>
  <c r="AA95" i="1" s="1"/>
  <c r="K95" i="1"/>
  <c r="J95" i="1"/>
  <c r="I95" i="1"/>
  <c r="BO95" i="1" s="1"/>
  <c r="H95" i="1"/>
  <c r="G95" i="1"/>
  <c r="F95" i="1"/>
  <c r="E95" i="1"/>
  <c r="D95" i="1"/>
  <c r="C95" i="1"/>
  <c r="B95" i="1"/>
  <c r="BY94" i="1"/>
  <c r="BX94" i="1"/>
  <c r="AA94" i="1"/>
  <c r="Z94" i="1"/>
  <c r="Y94" i="1"/>
  <c r="K94" i="1"/>
  <c r="J94" i="1"/>
  <c r="I94" i="1"/>
  <c r="BU94" i="1" s="1"/>
  <c r="H94" i="1"/>
  <c r="G94" i="1"/>
  <c r="F94" i="1"/>
  <c r="E94" i="1"/>
  <c r="D94" i="1"/>
  <c r="C94" i="1"/>
  <c r="B94" i="1"/>
  <c r="BY93" i="1"/>
  <c r="BX93" i="1"/>
  <c r="Z93" i="1"/>
  <c r="AA93" i="1" s="1"/>
  <c r="Y93" i="1"/>
  <c r="K93" i="1"/>
  <c r="J93" i="1"/>
  <c r="I93" i="1"/>
  <c r="BS93" i="1" s="1"/>
  <c r="H93" i="1"/>
  <c r="G93" i="1"/>
  <c r="F93" i="1"/>
  <c r="E93" i="1"/>
  <c r="D93" i="1"/>
  <c r="C93" i="1"/>
  <c r="B93" i="1"/>
  <c r="BY92" i="1"/>
  <c r="BX92" i="1"/>
  <c r="Z92" i="1"/>
  <c r="Y92" i="1"/>
  <c r="AA92" i="1" s="1"/>
  <c r="K92" i="1"/>
  <c r="J92" i="1"/>
  <c r="I92" i="1"/>
  <c r="BE92" i="1" s="1"/>
  <c r="H92" i="1"/>
  <c r="G92" i="1"/>
  <c r="F92" i="1"/>
  <c r="E92" i="1"/>
  <c r="D92" i="1"/>
  <c r="C92" i="1"/>
  <c r="B92" i="1"/>
  <c r="BY91" i="1"/>
  <c r="BX91" i="1"/>
  <c r="AA91" i="1"/>
  <c r="Z91" i="1"/>
  <c r="Y91" i="1"/>
  <c r="K91" i="1"/>
  <c r="J91" i="1"/>
  <c r="I91" i="1"/>
  <c r="BW91" i="1" s="1"/>
  <c r="H91" i="1"/>
  <c r="G91" i="1"/>
  <c r="F91" i="1"/>
  <c r="E91" i="1"/>
  <c r="D91" i="1"/>
  <c r="C91" i="1"/>
  <c r="B91" i="1"/>
  <c r="BY90" i="1"/>
  <c r="BX90" i="1"/>
  <c r="Z90" i="1"/>
  <c r="Y90" i="1"/>
  <c r="AA90" i="1" s="1"/>
  <c r="K90" i="1"/>
  <c r="J90" i="1"/>
  <c r="I90" i="1"/>
  <c r="BW90" i="1" s="1"/>
  <c r="H90" i="1"/>
  <c r="G90" i="1"/>
  <c r="F90" i="1"/>
  <c r="E90" i="1"/>
  <c r="D90" i="1"/>
  <c r="C90" i="1"/>
  <c r="B90" i="1"/>
  <c r="BY89" i="1"/>
  <c r="BX89" i="1"/>
  <c r="Z89" i="1"/>
  <c r="AA89" i="1" s="1"/>
  <c r="Y89" i="1"/>
  <c r="K89" i="1"/>
  <c r="J89" i="1"/>
  <c r="I89" i="1"/>
  <c r="BU89" i="1" s="1"/>
  <c r="H89" i="1"/>
  <c r="G89" i="1"/>
  <c r="F89" i="1"/>
  <c r="E89" i="1"/>
  <c r="D89" i="1"/>
  <c r="C89" i="1"/>
  <c r="B89" i="1"/>
  <c r="BY88" i="1"/>
  <c r="BX88" i="1"/>
  <c r="Z88" i="1"/>
  <c r="AA88" i="1" s="1"/>
  <c r="Y88" i="1"/>
  <c r="K88" i="1"/>
  <c r="J88" i="1"/>
  <c r="I88" i="1"/>
  <c r="BU88" i="1" s="1"/>
  <c r="H88" i="1"/>
  <c r="G88" i="1"/>
  <c r="F88" i="1"/>
  <c r="E88" i="1"/>
  <c r="D88" i="1"/>
  <c r="C88" i="1"/>
  <c r="B88" i="1"/>
  <c r="BY87" i="1"/>
  <c r="BX87" i="1"/>
  <c r="Z87" i="1"/>
  <c r="Y87" i="1"/>
  <c r="AA87" i="1" s="1"/>
  <c r="P87" i="1"/>
  <c r="O87" i="1"/>
  <c r="J87" i="1"/>
  <c r="I87" i="1"/>
  <c r="BO87" i="1" s="1"/>
  <c r="H87" i="1"/>
  <c r="G87" i="1"/>
  <c r="F87" i="1"/>
  <c r="E87" i="1"/>
  <c r="D87" i="1"/>
  <c r="B87" i="1"/>
  <c r="BY86" i="1"/>
  <c r="BX86" i="1"/>
  <c r="Z86" i="1"/>
  <c r="Y86" i="1"/>
  <c r="AA86" i="1" s="1"/>
  <c r="J86" i="1"/>
  <c r="I86" i="1"/>
  <c r="BW86" i="1" s="1"/>
  <c r="H86" i="1"/>
  <c r="G86" i="1"/>
  <c r="F86" i="1"/>
  <c r="E86" i="1"/>
  <c r="D86" i="1"/>
  <c r="C86" i="1"/>
  <c r="B86" i="1"/>
  <c r="BY85" i="1"/>
  <c r="BX85" i="1"/>
  <c r="AA85" i="1"/>
  <c r="Z85" i="1"/>
  <c r="Y85" i="1"/>
  <c r="J85" i="1"/>
  <c r="I85" i="1"/>
  <c r="BU85" i="1" s="1"/>
  <c r="H85" i="1"/>
  <c r="G85" i="1"/>
  <c r="F85" i="1"/>
  <c r="E85" i="1"/>
  <c r="D85" i="1"/>
  <c r="C85" i="1"/>
  <c r="B85" i="1"/>
  <c r="BY84" i="1"/>
  <c r="BX84" i="1"/>
  <c r="Z84" i="1"/>
  <c r="Y84" i="1"/>
  <c r="AA84" i="1" s="1"/>
  <c r="K84" i="1"/>
  <c r="J84" i="1"/>
  <c r="I84" i="1"/>
  <c r="BE84" i="1" s="1"/>
  <c r="H84" i="1"/>
  <c r="G84" i="1"/>
  <c r="F84" i="1"/>
  <c r="E84" i="1"/>
  <c r="D84" i="1"/>
  <c r="C84" i="1"/>
  <c r="B84" i="1"/>
  <c r="BY83" i="1"/>
  <c r="BX83" i="1"/>
  <c r="AA83" i="1"/>
  <c r="Z83" i="1"/>
  <c r="Y83" i="1"/>
  <c r="J83" i="1"/>
  <c r="I83" i="1"/>
  <c r="BW83" i="1" s="1"/>
  <c r="H83" i="1"/>
  <c r="G83" i="1"/>
  <c r="F83" i="1"/>
  <c r="E83" i="1"/>
  <c r="D83" i="1"/>
  <c r="C83" i="1"/>
  <c r="B83" i="1"/>
  <c r="BY82" i="1"/>
  <c r="BX82" i="1"/>
  <c r="Z82" i="1"/>
  <c r="Y82" i="1"/>
  <c r="AA82" i="1" s="1"/>
  <c r="J82" i="1"/>
  <c r="I82" i="1"/>
  <c r="BG82" i="1" s="1"/>
  <c r="H82" i="1"/>
  <c r="G82" i="1"/>
  <c r="F82" i="1"/>
  <c r="E82" i="1"/>
  <c r="D82" i="1"/>
  <c r="C82" i="1"/>
  <c r="B82" i="1"/>
  <c r="BY81" i="1"/>
  <c r="BX81" i="1"/>
  <c r="AA81" i="1"/>
  <c r="Z81" i="1"/>
  <c r="Y81" i="1"/>
  <c r="J81" i="1"/>
  <c r="I81" i="1"/>
  <c r="BW81" i="1" s="1"/>
  <c r="H81" i="1"/>
  <c r="G81" i="1"/>
  <c r="F81" i="1"/>
  <c r="E81" i="1"/>
  <c r="D81" i="1"/>
  <c r="C81" i="1"/>
  <c r="B81" i="1"/>
  <c r="BY80" i="1"/>
  <c r="BX80" i="1"/>
  <c r="Z80" i="1"/>
  <c r="Y80" i="1"/>
  <c r="AA80" i="1" s="1"/>
  <c r="K80" i="1"/>
  <c r="J80" i="1"/>
  <c r="I80" i="1"/>
  <c r="BK80" i="1" s="1"/>
  <c r="H80" i="1"/>
  <c r="G80" i="1"/>
  <c r="F80" i="1"/>
  <c r="E80" i="1"/>
  <c r="D80" i="1"/>
  <c r="C80" i="1"/>
  <c r="B80" i="1"/>
  <c r="BY79" i="1"/>
  <c r="BX79" i="1"/>
  <c r="Z79" i="1"/>
  <c r="Y79" i="1"/>
  <c r="AA79" i="1" s="1"/>
  <c r="J79" i="1"/>
  <c r="I79" i="1"/>
  <c r="BE79" i="1" s="1"/>
  <c r="H79" i="1"/>
  <c r="G79" i="1"/>
  <c r="F79" i="1"/>
  <c r="E79" i="1"/>
  <c r="D79" i="1"/>
  <c r="C79" i="1"/>
  <c r="B79" i="1"/>
  <c r="BY78" i="1"/>
  <c r="BX78" i="1"/>
  <c r="Z78" i="1"/>
  <c r="Y78" i="1"/>
  <c r="AA78" i="1" s="1"/>
  <c r="K78" i="1"/>
  <c r="J78" i="1"/>
  <c r="I78" i="1"/>
  <c r="BO78" i="1" s="1"/>
  <c r="H78" i="1"/>
  <c r="G78" i="1"/>
  <c r="F78" i="1"/>
  <c r="E78" i="1"/>
  <c r="D78" i="1"/>
  <c r="C78" i="1"/>
  <c r="B78" i="1"/>
  <c r="BY77" i="1"/>
  <c r="BX77" i="1"/>
  <c r="BW77" i="1"/>
  <c r="BU77" i="1"/>
  <c r="BS77" i="1"/>
  <c r="BQ77" i="1"/>
  <c r="BO77" i="1"/>
  <c r="BM77" i="1"/>
  <c r="BK77" i="1"/>
  <c r="BI77" i="1"/>
  <c r="BG77" i="1"/>
  <c r="BE77" i="1"/>
  <c r="AA77" i="1"/>
  <c r="Z77" i="1"/>
  <c r="Y77" i="1"/>
  <c r="BY76" i="1"/>
  <c r="BX76" i="1"/>
  <c r="BW76" i="1"/>
  <c r="BU76" i="1"/>
  <c r="BS76" i="1"/>
  <c r="BQ76" i="1"/>
  <c r="BO76" i="1"/>
  <c r="BM76" i="1"/>
  <c r="BK76" i="1"/>
  <c r="BI76" i="1"/>
  <c r="BG76" i="1"/>
  <c r="BE76" i="1"/>
  <c r="Z76" i="1"/>
  <c r="AA76" i="1" s="1"/>
  <c r="Y76" i="1"/>
  <c r="BY75" i="1"/>
  <c r="BX75" i="1"/>
  <c r="BW75" i="1"/>
  <c r="BU75" i="1"/>
  <c r="BS75" i="1"/>
  <c r="BQ75" i="1"/>
  <c r="BO75" i="1"/>
  <c r="BM75" i="1"/>
  <c r="BK75" i="1"/>
  <c r="BI75" i="1"/>
  <c r="BG75" i="1"/>
  <c r="BE75" i="1"/>
  <c r="Z75" i="1"/>
  <c r="Y75" i="1"/>
  <c r="AA75" i="1" s="1"/>
  <c r="BY74" i="1"/>
  <c r="BX74" i="1"/>
  <c r="BW74" i="1"/>
  <c r="BU74" i="1"/>
  <c r="BS74" i="1"/>
  <c r="BQ74" i="1"/>
  <c r="BO74" i="1"/>
  <c r="BM74" i="1"/>
  <c r="BK74" i="1"/>
  <c r="BI74" i="1"/>
  <c r="BG74" i="1"/>
  <c r="BE74" i="1"/>
  <c r="Z74" i="1"/>
  <c r="Y74" i="1"/>
  <c r="AA74" i="1" s="1"/>
  <c r="BY73" i="1"/>
  <c r="BX73" i="1"/>
  <c r="BW73" i="1"/>
  <c r="BS73" i="1"/>
  <c r="BQ73" i="1"/>
  <c r="BO73" i="1"/>
  <c r="BM73" i="1"/>
  <c r="BK73" i="1"/>
  <c r="BE73" i="1"/>
  <c r="Z73" i="1"/>
  <c r="AA73" i="1" s="1"/>
  <c r="Y73" i="1"/>
  <c r="BY72" i="1"/>
  <c r="BX72" i="1"/>
  <c r="BW72" i="1"/>
  <c r="BU72" i="1"/>
  <c r="BS72" i="1"/>
  <c r="BQ72" i="1"/>
  <c r="BO72" i="1"/>
  <c r="BM72" i="1"/>
  <c r="BK72" i="1"/>
  <c r="BI72" i="1"/>
  <c r="BG72" i="1"/>
  <c r="BE72" i="1"/>
  <c r="Z72" i="1"/>
  <c r="Y72" i="1"/>
  <c r="AA72" i="1" s="1"/>
  <c r="BY71" i="1"/>
  <c r="BX71" i="1"/>
  <c r="BW71" i="1"/>
  <c r="BU71" i="1"/>
  <c r="BS71" i="1"/>
  <c r="BQ71" i="1"/>
  <c r="BO71" i="1"/>
  <c r="BM71" i="1"/>
  <c r="BK71" i="1"/>
  <c r="BI71" i="1"/>
  <c r="BG71" i="1"/>
  <c r="BE71" i="1"/>
  <c r="Z71" i="1"/>
  <c r="Y71" i="1"/>
  <c r="AA71" i="1" s="1"/>
  <c r="CR70" i="1"/>
  <c r="BY70" i="1"/>
  <c r="BX70" i="1"/>
  <c r="BW70" i="1"/>
  <c r="BU70" i="1"/>
  <c r="BS70" i="1"/>
  <c r="BQ70" i="1"/>
  <c r="BO70" i="1"/>
  <c r="BM70" i="1"/>
  <c r="BK70" i="1"/>
  <c r="BI70" i="1"/>
  <c r="BG70" i="1"/>
  <c r="BE70" i="1"/>
  <c r="Z70" i="1"/>
  <c r="Y70" i="1"/>
  <c r="AA70" i="1" s="1"/>
  <c r="K70" i="1"/>
  <c r="CR69" i="1"/>
  <c r="BY69" i="1"/>
  <c r="BX69" i="1"/>
  <c r="BW69" i="1"/>
  <c r="BU69" i="1"/>
  <c r="BS69" i="1"/>
  <c r="BQ69" i="1"/>
  <c r="BO69" i="1"/>
  <c r="BM69" i="1"/>
  <c r="BK69" i="1"/>
  <c r="BI69" i="1"/>
  <c r="BG69" i="1"/>
  <c r="BE69" i="1"/>
  <c r="AH69" i="1"/>
  <c r="Z69" i="1"/>
  <c r="AA69" i="1" s="1"/>
  <c r="Y69" i="1"/>
  <c r="K69" i="1"/>
  <c r="CR68" i="1"/>
  <c r="BY68" i="1"/>
  <c r="BX68" i="1"/>
  <c r="BW68" i="1"/>
  <c r="BU68" i="1"/>
  <c r="BS68" i="1"/>
  <c r="BQ68" i="1"/>
  <c r="BO68" i="1"/>
  <c r="BM68" i="1"/>
  <c r="BK68" i="1"/>
  <c r="BI68" i="1"/>
  <c r="BG68" i="1"/>
  <c r="BE68" i="1"/>
  <c r="AJ68" i="1"/>
  <c r="AH68" i="1"/>
  <c r="AA68" i="1"/>
  <c r="Z68" i="1"/>
  <c r="Y68" i="1"/>
  <c r="K68" i="1"/>
  <c r="CR67" i="1"/>
  <c r="BY67" i="1"/>
  <c r="BX67" i="1"/>
  <c r="BW67" i="1"/>
  <c r="BU67" i="1"/>
  <c r="BS67" i="1"/>
  <c r="BQ67" i="1"/>
  <c r="BO67" i="1"/>
  <c r="BM67" i="1"/>
  <c r="BK67" i="1"/>
  <c r="BI67" i="1"/>
  <c r="BG67" i="1"/>
  <c r="BE67" i="1"/>
  <c r="AJ67" i="1"/>
  <c r="AH67" i="1"/>
  <c r="Z67" i="1"/>
  <c r="AA67" i="1" s="1"/>
  <c r="Y67" i="1"/>
  <c r="K67" i="1"/>
  <c r="CR66" i="1"/>
  <c r="BY66" i="1"/>
  <c r="BX66" i="1"/>
  <c r="BW66" i="1"/>
  <c r="BU66" i="1"/>
  <c r="BS66" i="1"/>
  <c r="BQ66" i="1"/>
  <c r="BO66" i="1"/>
  <c r="BM66" i="1"/>
  <c r="BK66" i="1"/>
  <c r="BI66" i="1"/>
  <c r="BG66" i="1"/>
  <c r="BE66" i="1"/>
  <c r="AJ66" i="1"/>
  <c r="AH66" i="1"/>
  <c r="Z66" i="1"/>
  <c r="Y66" i="1"/>
  <c r="AA66" i="1" s="1"/>
  <c r="K66" i="1"/>
  <c r="CR65" i="1"/>
  <c r="BY65" i="1"/>
  <c r="BX65" i="1"/>
  <c r="BW65" i="1"/>
  <c r="BU65" i="1"/>
  <c r="BS65" i="1"/>
  <c r="BQ65" i="1"/>
  <c r="BO65" i="1"/>
  <c r="BM65" i="1"/>
  <c r="BK65" i="1"/>
  <c r="BI65" i="1"/>
  <c r="BG65" i="1"/>
  <c r="BE65" i="1"/>
  <c r="AJ65" i="1"/>
  <c r="AH65" i="1"/>
  <c r="Z65" i="1"/>
  <c r="Y65" i="1"/>
  <c r="AA65" i="1" s="1"/>
  <c r="K65" i="1"/>
  <c r="CR64" i="1"/>
  <c r="BY64" i="1"/>
  <c r="BX64" i="1"/>
  <c r="BW64" i="1"/>
  <c r="BU64" i="1"/>
  <c r="BS64" i="1"/>
  <c r="BQ64" i="1"/>
  <c r="BO64" i="1"/>
  <c r="BM64" i="1"/>
  <c r="BK64" i="1"/>
  <c r="BI64" i="1"/>
  <c r="BG64" i="1"/>
  <c r="BE64" i="1"/>
  <c r="AJ64" i="1"/>
  <c r="AH64" i="1"/>
  <c r="Z64" i="1"/>
  <c r="Y64" i="1"/>
  <c r="AA64" i="1" s="1"/>
  <c r="K64" i="1"/>
  <c r="CR63" i="1"/>
  <c r="BY63" i="1"/>
  <c r="BX63" i="1"/>
  <c r="BW63" i="1"/>
  <c r="BU63" i="1"/>
  <c r="BS63" i="1"/>
  <c r="BQ63" i="1"/>
  <c r="BO63" i="1"/>
  <c r="BM63" i="1"/>
  <c r="BK63" i="1"/>
  <c r="BI63" i="1"/>
  <c r="BG63" i="1"/>
  <c r="BE63" i="1"/>
  <c r="AJ63" i="1"/>
  <c r="AH63" i="1"/>
  <c r="AA63" i="1"/>
  <c r="Z63" i="1"/>
  <c r="Y63" i="1"/>
  <c r="K63" i="1"/>
  <c r="CR62" i="1"/>
  <c r="BY62" i="1"/>
  <c r="BX62" i="1"/>
  <c r="BW62" i="1"/>
  <c r="BU62" i="1"/>
  <c r="BS62" i="1"/>
  <c r="BQ62" i="1"/>
  <c r="BO62" i="1"/>
  <c r="BM62" i="1"/>
  <c r="BK62" i="1"/>
  <c r="BI62" i="1"/>
  <c r="BG62" i="1"/>
  <c r="BE62" i="1"/>
  <c r="AJ62" i="1"/>
  <c r="AH62" i="1"/>
  <c r="Z62" i="1"/>
  <c r="Y62" i="1"/>
  <c r="AA62" i="1" s="1"/>
  <c r="K62" i="1"/>
  <c r="CR61" i="1"/>
  <c r="BY61" i="1"/>
  <c r="BX61" i="1"/>
  <c r="BW61" i="1"/>
  <c r="BU61" i="1"/>
  <c r="BS61" i="1"/>
  <c r="BQ61" i="1"/>
  <c r="BO61" i="1"/>
  <c r="BM61" i="1"/>
  <c r="BK61" i="1"/>
  <c r="BI61" i="1"/>
  <c r="BG61" i="1"/>
  <c r="BE61" i="1"/>
  <c r="AJ61" i="1"/>
  <c r="AH61" i="1"/>
  <c r="AA61" i="1"/>
  <c r="Z61" i="1"/>
  <c r="Y61" i="1"/>
  <c r="K61" i="1"/>
  <c r="CR60" i="1"/>
  <c r="BY60" i="1"/>
  <c r="BX60" i="1"/>
  <c r="BW60" i="1"/>
  <c r="BU60" i="1"/>
  <c r="BS60" i="1"/>
  <c r="BQ60" i="1"/>
  <c r="BO60" i="1"/>
  <c r="BM60" i="1"/>
  <c r="BK60" i="1"/>
  <c r="BI60" i="1"/>
  <c r="BG60" i="1"/>
  <c r="BE60" i="1"/>
  <c r="AJ60" i="1"/>
  <c r="AH60" i="1"/>
  <c r="Z60" i="1"/>
  <c r="Y60" i="1"/>
  <c r="AA60" i="1" s="1"/>
  <c r="K60" i="1"/>
  <c r="CR59" i="1"/>
  <c r="BY59" i="1"/>
  <c r="BX59" i="1"/>
  <c r="BW59" i="1"/>
  <c r="BU59" i="1"/>
  <c r="BS59" i="1"/>
  <c r="BQ59" i="1"/>
  <c r="BO59" i="1"/>
  <c r="BM59" i="1"/>
  <c r="BK59" i="1"/>
  <c r="BI59" i="1"/>
  <c r="BG59" i="1"/>
  <c r="BE59" i="1"/>
  <c r="AJ59" i="1"/>
  <c r="AH59" i="1"/>
  <c r="Z59" i="1"/>
  <c r="Y59" i="1"/>
  <c r="AA59" i="1" s="1"/>
  <c r="K59" i="1"/>
  <c r="CR58" i="1"/>
  <c r="BY58" i="1"/>
  <c r="BX58" i="1"/>
  <c r="BW58" i="1"/>
  <c r="BU58" i="1"/>
  <c r="BS58" i="1"/>
  <c r="BQ58" i="1"/>
  <c r="BO58" i="1"/>
  <c r="BM58" i="1"/>
  <c r="BK58" i="1"/>
  <c r="BI58" i="1"/>
  <c r="BG58" i="1"/>
  <c r="BE58" i="1"/>
  <c r="AJ58" i="1"/>
  <c r="AH58" i="1"/>
  <c r="AA58" i="1"/>
  <c r="Z58" i="1"/>
  <c r="Y58" i="1"/>
  <c r="K58" i="1"/>
  <c r="CR57" i="1"/>
  <c r="BY57" i="1"/>
  <c r="BX57" i="1"/>
  <c r="BW57" i="1"/>
  <c r="BU57" i="1"/>
  <c r="BS57" i="1"/>
  <c r="BQ57" i="1"/>
  <c r="BO57" i="1"/>
  <c r="BM57" i="1"/>
  <c r="BK57" i="1"/>
  <c r="BI57" i="1"/>
  <c r="BG57" i="1"/>
  <c r="BE57" i="1"/>
  <c r="AJ57" i="1"/>
  <c r="AH57" i="1"/>
  <c r="Z57" i="1"/>
  <c r="Y57" i="1"/>
  <c r="AA57" i="1" s="1"/>
  <c r="K57" i="1"/>
  <c r="CR56" i="1"/>
  <c r="BY56" i="1"/>
  <c r="BX56" i="1"/>
  <c r="BW56" i="1"/>
  <c r="BU56" i="1"/>
  <c r="BS56" i="1"/>
  <c r="BQ56" i="1"/>
  <c r="BO56" i="1"/>
  <c r="BM56" i="1"/>
  <c r="BK56" i="1"/>
  <c r="BI56" i="1"/>
  <c r="BG56" i="1"/>
  <c r="BE56" i="1"/>
  <c r="AJ56" i="1"/>
  <c r="AH56" i="1"/>
  <c r="AA56" i="1"/>
  <c r="Z56" i="1"/>
  <c r="Y56" i="1"/>
  <c r="K56" i="1"/>
  <c r="CR55" i="1"/>
  <c r="BY55" i="1"/>
  <c r="BX55" i="1"/>
  <c r="BW55" i="1"/>
  <c r="BU55" i="1"/>
  <c r="BS55" i="1"/>
  <c r="BQ55" i="1"/>
  <c r="BO55" i="1"/>
  <c r="BM55" i="1"/>
  <c r="BK55" i="1"/>
  <c r="BI55" i="1"/>
  <c r="BG55" i="1"/>
  <c r="BE55" i="1"/>
  <c r="AJ55" i="1"/>
  <c r="AH55" i="1"/>
  <c r="Z55" i="1"/>
  <c r="Y55" i="1"/>
  <c r="AA55" i="1" s="1"/>
  <c r="K55" i="1"/>
  <c r="CR54" i="1"/>
  <c r="BY54" i="1"/>
  <c r="BX54" i="1"/>
  <c r="BW54" i="1"/>
  <c r="BU54" i="1"/>
  <c r="BS54" i="1"/>
  <c r="BQ54" i="1"/>
  <c r="BO54" i="1"/>
  <c r="BM54" i="1"/>
  <c r="BK54" i="1"/>
  <c r="BI54" i="1"/>
  <c r="BG54" i="1"/>
  <c r="BE54" i="1"/>
  <c r="AJ54" i="1"/>
  <c r="AH54" i="1"/>
  <c r="Z54" i="1"/>
  <c r="Y54" i="1"/>
  <c r="AA54" i="1" s="1"/>
  <c r="K54" i="1"/>
  <c r="CR53" i="1"/>
  <c r="BY53" i="1"/>
  <c r="BX53" i="1"/>
  <c r="BW53" i="1"/>
  <c r="BU53" i="1"/>
  <c r="BS53" i="1"/>
  <c r="BQ53" i="1"/>
  <c r="BO53" i="1"/>
  <c r="BM53" i="1"/>
  <c r="BK53" i="1"/>
  <c r="BI53" i="1"/>
  <c r="BG53" i="1"/>
  <c r="BE53" i="1"/>
  <c r="AJ53" i="1"/>
  <c r="AH53" i="1"/>
  <c r="Z53" i="1"/>
  <c r="AA53" i="1" s="1"/>
  <c r="Y53" i="1"/>
  <c r="K53" i="1"/>
  <c r="CR52" i="1"/>
  <c r="BY52" i="1"/>
  <c r="BX52" i="1"/>
  <c r="BW52" i="1"/>
  <c r="BU52" i="1"/>
  <c r="BS52" i="1"/>
  <c r="BQ52" i="1"/>
  <c r="BO52" i="1"/>
  <c r="BM52" i="1"/>
  <c r="BK52" i="1"/>
  <c r="BI52" i="1"/>
  <c r="BG52" i="1"/>
  <c r="BE52" i="1"/>
  <c r="AJ52" i="1"/>
  <c r="AH52" i="1"/>
  <c r="AA52" i="1"/>
  <c r="Z52" i="1"/>
  <c r="Y52" i="1"/>
  <c r="K52" i="1"/>
  <c r="CR51" i="1"/>
  <c r="BY51" i="1"/>
  <c r="BX51" i="1"/>
  <c r="BW51" i="1"/>
  <c r="BU51" i="1"/>
  <c r="BS51" i="1"/>
  <c r="BQ51" i="1"/>
  <c r="BO51" i="1"/>
  <c r="BM51" i="1"/>
  <c r="BK51" i="1"/>
  <c r="BI51" i="1"/>
  <c r="BG51" i="1"/>
  <c r="BE51" i="1"/>
  <c r="AJ51" i="1"/>
  <c r="AH51" i="1"/>
  <c r="Z51" i="1"/>
  <c r="AA51" i="1" s="1"/>
  <c r="Y51" i="1"/>
  <c r="K51" i="1"/>
  <c r="CR50" i="1"/>
  <c r="BY50" i="1"/>
  <c r="BX50" i="1"/>
  <c r="BW50" i="1"/>
  <c r="BU50" i="1"/>
  <c r="BS50" i="1"/>
  <c r="BQ50" i="1"/>
  <c r="BO50" i="1"/>
  <c r="BM50" i="1"/>
  <c r="BK50" i="1"/>
  <c r="BI50" i="1"/>
  <c r="BG50" i="1"/>
  <c r="BE50" i="1"/>
  <c r="AJ50" i="1"/>
  <c r="AH50" i="1"/>
  <c r="Z50" i="1"/>
  <c r="Y50" i="1"/>
  <c r="AA50" i="1" s="1"/>
  <c r="K50" i="1"/>
  <c r="CR49" i="1"/>
  <c r="BY49" i="1"/>
  <c r="BX49" i="1"/>
  <c r="BW49" i="1"/>
  <c r="BU49" i="1"/>
  <c r="BS49" i="1"/>
  <c r="BQ49" i="1"/>
  <c r="BO49" i="1"/>
  <c r="BM49" i="1"/>
  <c r="BK49" i="1"/>
  <c r="BI49" i="1"/>
  <c r="BG49" i="1"/>
  <c r="BE49" i="1"/>
  <c r="AJ49" i="1"/>
  <c r="AH49" i="1"/>
  <c r="Z49" i="1"/>
  <c r="Y49" i="1"/>
  <c r="AA49" i="1" s="1"/>
  <c r="K49" i="1"/>
  <c r="CR48" i="1"/>
  <c r="BY48" i="1"/>
  <c r="BX48" i="1"/>
  <c r="BW48" i="1"/>
  <c r="BU48" i="1"/>
  <c r="BS48" i="1"/>
  <c r="BQ48" i="1"/>
  <c r="BO48" i="1"/>
  <c r="BM48" i="1"/>
  <c r="BK48" i="1"/>
  <c r="BI48" i="1"/>
  <c r="BG48" i="1"/>
  <c r="BE48" i="1"/>
  <c r="AJ48" i="1"/>
  <c r="AH48" i="1"/>
  <c r="Z48" i="1"/>
  <c r="Y48" i="1"/>
  <c r="AA48" i="1" s="1"/>
  <c r="K48" i="1"/>
  <c r="CR47" i="1"/>
  <c r="BY47" i="1"/>
  <c r="BX47" i="1"/>
  <c r="BW47" i="1"/>
  <c r="BU47" i="1"/>
  <c r="BS47" i="1"/>
  <c r="BQ47" i="1"/>
  <c r="BO47" i="1"/>
  <c r="BM47" i="1"/>
  <c r="BK47" i="1"/>
  <c r="BI47" i="1"/>
  <c r="BG47" i="1"/>
  <c r="BE47" i="1"/>
  <c r="AJ47" i="1"/>
  <c r="AH47" i="1"/>
  <c r="AA47" i="1"/>
  <c r="Z47" i="1"/>
  <c r="Y47" i="1"/>
  <c r="K47" i="1"/>
  <c r="CR46" i="1"/>
  <c r="BY46" i="1"/>
  <c r="BX46" i="1"/>
  <c r="BW46" i="1"/>
  <c r="BU46" i="1"/>
  <c r="BS46" i="1"/>
  <c r="BQ46" i="1"/>
  <c r="BO46" i="1"/>
  <c r="BM46" i="1"/>
  <c r="BK46" i="1"/>
  <c r="BI46" i="1"/>
  <c r="BG46" i="1"/>
  <c r="BE46" i="1"/>
  <c r="AJ46" i="1"/>
  <c r="AH46" i="1"/>
  <c r="Z46" i="1"/>
  <c r="Y46" i="1"/>
  <c r="AA46" i="1" s="1"/>
  <c r="K46" i="1"/>
  <c r="CR45" i="1"/>
  <c r="BY45" i="1"/>
  <c r="BX45" i="1"/>
  <c r="BW45" i="1"/>
  <c r="BU45" i="1"/>
  <c r="BS45" i="1"/>
  <c r="BQ45" i="1"/>
  <c r="BO45" i="1"/>
  <c r="BM45" i="1"/>
  <c r="BK45" i="1"/>
  <c r="BI45" i="1"/>
  <c r="BG45" i="1"/>
  <c r="BE45" i="1"/>
  <c r="AJ45" i="1"/>
  <c r="AH45" i="1"/>
  <c r="AA45" i="1"/>
  <c r="Z45" i="1"/>
  <c r="Y45" i="1"/>
  <c r="K45" i="1"/>
  <c r="CR44" i="1"/>
  <c r="BY44" i="1"/>
  <c r="BX44" i="1"/>
  <c r="BW44" i="1"/>
  <c r="BU44" i="1"/>
  <c r="BS44" i="1"/>
  <c r="BQ44" i="1"/>
  <c r="BO44" i="1"/>
  <c r="BM44" i="1"/>
  <c r="BK44" i="1"/>
  <c r="BI44" i="1"/>
  <c r="BG44" i="1"/>
  <c r="BE44" i="1"/>
  <c r="AJ44" i="1"/>
  <c r="AH44" i="1"/>
  <c r="Z44" i="1"/>
  <c r="Y44" i="1"/>
  <c r="AA44" i="1" s="1"/>
  <c r="K44" i="1"/>
  <c r="CR43" i="1"/>
  <c r="BY43" i="1"/>
  <c r="BX43" i="1"/>
  <c r="BW43" i="1"/>
  <c r="BU43" i="1"/>
  <c r="BS43" i="1"/>
  <c r="BQ43" i="1"/>
  <c r="BO43" i="1"/>
  <c r="BM43" i="1"/>
  <c r="BK43" i="1"/>
  <c r="BI43" i="1"/>
  <c r="BG43" i="1"/>
  <c r="BE43" i="1"/>
  <c r="AJ43" i="1"/>
  <c r="AH43" i="1"/>
  <c r="Z43" i="1"/>
  <c r="Y43" i="1"/>
  <c r="AA43" i="1" s="1"/>
  <c r="K43" i="1"/>
  <c r="CR42" i="1"/>
  <c r="BY42" i="1"/>
  <c r="BX42" i="1"/>
  <c r="BW42" i="1"/>
  <c r="BU42" i="1"/>
  <c r="BS42" i="1"/>
  <c r="BQ42" i="1"/>
  <c r="BO42" i="1"/>
  <c r="BM42" i="1"/>
  <c r="BK42" i="1"/>
  <c r="BI42" i="1"/>
  <c r="BG42" i="1"/>
  <c r="BE42" i="1"/>
  <c r="AJ42" i="1"/>
  <c r="AH42" i="1"/>
  <c r="AA42" i="1"/>
  <c r="Z42" i="1"/>
  <c r="Y42" i="1"/>
  <c r="K42" i="1"/>
  <c r="CR41" i="1"/>
  <c r="BY41" i="1"/>
  <c r="BX41" i="1"/>
  <c r="BW41" i="1"/>
  <c r="BU41" i="1"/>
  <c r="BS41" i="1"/>
  <c r="BQ41" i="1"/>
  <c r="BO41" i="1"/>
  <c r="BM41" i="1"/>
  <c r="BK41" i="1"/>
  <c r="BI41" i="1"/>
  <c r="BG41" i="1"/>
  <c r="BE41" i="1"/>
  <c r="AJ41" i="1"/>
  <c r="AH41" i="1"/>
  <c r="Z41" i="1"/>
  <c r="Y41" i="1"/>
  <c r="AA41" i="1" s="1"/>
  <c r="K41" i="1"/>
  <c r="CR40" i="1"/>
  <c r="BY40" i="1"/>
  <c r="BX40" i="1"/>
  <c r="BW40" i="1"/>
  <c r="BU40" i="1"/>
  <c r="BS40" i="1"/>
  <c r="BQ40" i="1"/>
  <c r="BO40" i="1"/>
  <c r="BM40" i="1"/>
  <c r="BK40" i="1"/>
  <c r="BI40" i="1"/>
  <c r="BG40" i="1"/>
  <c r="BE40" i="1"/>
  <c r="AJ40" i="1"/>
  <c r="AH40" i="1"/>
  <c r="AA40" i="1"/>
  <c r="Z40" i="1"/>
  <c r="Y40" i="1"/>
  <c r="K40" i="1"/>
  <c r="CR39" i="1"/>
  <c r="BY39" i="1"/>
  <c r="BX39" i="1"/>
  <c r="BW39" i="1"/>
  <c r="BU39" i="1"/>
  <c r="BS39" i="1"/>
  <c r="BQ39" i="1"/>
  <c r="BO39" i="1"/>
  <c r="BM39" i="1"/>
  <c r="BK39" i="1"/>
  <c r="BI39" i="1"/>
  <c r="BG39" i="1"/>
  <c r="BE39" i="1"/>
  <c r="AJ39" i="1"/>
  <c r="AH39" i="1"/>
  <c r="Z39" i="1"/>
  <c r="Y39" i="1"/>
  <c r="AA39" i="1" s="1"/>
  <c r="K39" i="1"/>
  <c r="CR38" i="1"/>
  <c r="BY38" i="1"/>
  <c r="BX38" i="1"/>
  <c r="BW38" i="1"/>
  <c r="BU38" i="1"/>
  <c r="BS38" i="1"/>
  <c r="BQ38" i="1"/>
  <c r="BO38" i="1"/>
  <c r="BM38" i="1"/>
  <c r="BK38" i="1"/>
  <c r="BI38" i="1"/>
  <c r="BG38" i="1"/>
  <c r="BE38" i="1"/>
  <c r="AJ38" i="1"/>
  <c r="AH38" i="1"/>
  <c r="Z38" i="1"/>
  <c r="Y38" i="1"/>
  <c r="AA38" i="1" s="1"/>
  <c r="K38" i="1"/>
  <c r="CR37" i="1"/>
  <c r="BY37" i="1"/>
  <c r="BX37" i="1"/>
  <c r="BW37" i="1"/>
  <c r="BU37" i="1"/>
  <c r="BS37" i="1"/>
  <c r="BQ37" i="1"/>
  <c r="BO37" i="1"/>
  <c r="BM37" i="1"/>
  <c r="BK37" i="1"/>
  <c r="BI37" i="1"/>
  <c r="BG37" i="1"/>
  <c r="BE37" i="1"/>
  <c r="AJ37" i="1"/>
  <c r="AH37" i="1"/>
  <c r="Z37" i="1"/>
  <c r="AA37" i="1" s="1"/>
  <c r="Y37" i="1"/>
  <c r="K37" i="1"/>
  <c r="CR36" i="1"/>
  <c r="BY36" i="1"/>
  <c r="BX36" i="1"/>
  <c r="BW36" i="1"/>
  <c r="BU36" i="1"/>
  <c r="BS36" i="1"/>
  <c r="BQ36" i="1"/>
  <c r="BO36" i="1"/>
  <c r="BM36" i="1"/>
  <c r="BK36" i="1"/>
  <c r="BI36" i="1"/>
  <c r="BG36" i="1"/>
  <c r="BE36" i="1"/>
  <c r="AJ36" i="1"/>
  <c r="AH36" i="1"/>
  <c r="AA36" i="1"/>
  <c r="Z36" i="1"/>
  <c r="Y36" i="1"/>
  <c r="K36" i="1"/>
  <c r="CR35" i="1"/>
  <c r="BY35" i="1"/>
  <c r="BX35" i="1"/>
  <c r="BW35" i="1"/>
  <c r="BU35" i="1"/>
  <c r="BS35" i="1"/>
  <c r="BQ35" i="1"/>
  <c r="BO35" i="1"/>
  <c r="BM35" i="1"/>
  <c r="BK35" i="1"/>
  <c r="BI35" i="1"/>
  <c r="BG35" i="1"/>
  <c r="BE35" i="1"/>
  <c r="AJ35" i="1"/>
  <c r="AH35" i="1"/>
  <c r="Z35" i="1"/>
  <c r="AA35" i="1" s="1"/>
  <c r="Y35" i="1"/>
  <c r="K35" i="1"/>
  <c r="CR34" i="1"/>
  <c r="BY34" i="1"/>
  <c r="BX34" i="1"/>
  <c r="BW34" i="1"/>
  <c r="BU34" i="1"/>
  <c r="BS34" i="1"/>
  <c r="BQ34" i="1"/>
  <c r="BO34" i="1"/>
  <c r="BM34" i="1"/>
  <c r="BK34" i="1"/>
  <c r="BI34" i="1"/>
  <c r="BG34" i="1"/>
  <c r="BE34" i="1"/>
  <c r="AJ34" i="1"/>
  <c r="AH34" i="1"/>
  <c r="Z34" i="1"/>
  <c r="Y34" i="1"/>
  <c r="AA34" i="1" s="1"/>
  <c r="K34" i="1"/>
  <c r="CR33" i="1"/>
  <c r="BY33" i="1"/>
  <c r="BX33" i="1"/>
  <c r="BW33" i="1"/>
  <c r="BU33" i="1"/>
  <c r="BS33" i="1"/>
  <c r="BQ33" i="1"/>
  <c r="BO33" i="1"/>
  <c r="BM33" i="1"/>
  <c r="BK33" i="1"/>
  <c r="BI33" i="1"/>
  <c r="BG33" i="1"/>
  <c r="BE33" i="1"/>
  <c r="AJ33" i="1"/>
  <c r="AH33" i="1"/>
  <c r="Z33" i="1"/>
  <c r="Y33" i="1"/>
  <c r="AA33" i="1" s="1"/>
  <c r="K33" i="1"/>
  <c r="CR32" i="1"/>
  <c r="BY32" i="1"/>
  <c r="BX32" i="1"/>
  <c r="BW32" i="1"/>
  <c r="BU32" i="1"/>
  <c r="BS32" i="1"/>
  <c r="BQ32" i="1"/>
  <c r="BO32" i="1"/>
  <c r="BM32" i="1"/>
  <c r="BK32" i="1"/>
  <c r="BI32" i="1"/>
  <c r="BG32" i="1"/>
  <c r="BE32" i="1"/>
  <c r="AJ32" i="1"/>
  <c r="AH32" i="1"/>
  <c r="Z32" i="1"/>
  <c r="Y32" i="1"/>
  <c r="AA32" i="1" s="1"/>
  <c r="K32" i="1"/>
  <c r="CR31" i="1"/>
  <c r="BY31" i="1"/>
  <c r="BX31" i="1"/>
  <c r="BW31" i="1"/>
  <c r="BU31" i="1"/>
  <c r="BS31" i="1"/>
  <c r="BQ31" i="1"/>
  <c r="BO31" i="1"/>
  <c r="BM31" i="1"/>
  <c r="BK31" i="1"/>
  <c r="BI31" i="1"/>
  <c r="BG31" i="1"/>
  <c r="BE31" i="1"/>
  <c r="AJ31" i="1"/>
  <c r="AH31" i="1"/>
  <c r="AA31" i="1"/>
  <c r="Z31" i="1"/>
  <c r="Y31" i="1"/>
  <c r="K31" i="1"/>
  <c r="CQ30" i="1"/>
  <c r="CR30" i="1" s="1"/>
  <c r="BY30" i="1"/>
  <c r="BX30" i="1"/>
  <c r="BW30" i="1"/>
  <c r="BU30" i="1"/>
  <c r="BS30" i="1"/>
  <c r="BQ30" i="1"/>
  <c r="BO30" i="1"/>
  <c r="BM30" i="1"/>
  <c r="BK30" i="1"/>
  <c r="BI30" i="1"/>
  <c r="BG30" i="1"/>
  <c r="BE30" i="1"/>
  <c r="Z30" i="1"/>
  <c r="Y30" i="1"/>
  <c r="AA30" i="1" s="1"/>
  <c r="K30" i="1"/>
  <c r="CR29" i="1"/>
  <c r="BY29" i="1"/>
  <c r="BX29" i="1"/>
  <c r="BW29" i="1"/>
  <c r="BU29" i="1"/>
  <c r="BS29" i="1"/>
  <c r="BQ29" i="1"/>
  <c r="BO29" i="1"/>
  <c r="BM29" i="1"/>
  <c r="BK29" i="1"/>
  <c r="BI29" i="1"/>
  <c r="BG29" i="1"/>
  <c r="BE29" i="1"/>
  <c r="AJ29" i="1"/>
  <c r="AH29" i="1"/>
  <c r="AA29" i="1"/>
  <c r="Z29" i="1"/>
  <c r="Y29" i="1"/>
  <c r="K29" i="1"/>
  <c r="CR28" i="1"/>
  <c r="BY28" i="1"/>
  <c r="BX28" i="1"/>
  <c r="BW28" i="1"/>
  <c r="BU28" i="1"/>
  <c r="BS28" i="1"/>
  <c r="BQ28" i="1"/>
  <c r="BO28" i="1"/>
  <c r="BM28" i="1"/>
  <c r="BK28" i="1"/>
  <c r="BI28" i="1"/>
  <c r="BG28" i="1"/>
  <c r="BE28" i="1"/>
  <c r="AJ28" i="1"/>
  <c r="AH28" i="1"/>
  <c r="Z28" i="1"/>
  <c r="Y28" i="1"/>
  <c r="AA28" i="1" s="1"/>
  <c r="K28" i="1"/>
  <c r="CR27" i="1"/>
  <c r="BY27" i="1"/>
  <c r="BX27" i="1"/>
  <c r="BW27" i="1"/>
  <c r="BU27" i="1"/>
  <c r="BS27" i="1"/>
  <c r="BQ27" i="1"/>
  <c r="BO27" i="1"/>
  <c r="BM27" i="1"/>
  <c r="BK27" i="1"/>
  <c r="BI27" i="1"/>
  <c r="BG27" i="1"/>
  <c r="BE27" i="1"/>
  <c r="AJ27" i="1"/>
  <c r="AH27" i="1"/>
  <c r="Z27" i="1"/>
  <c r="Y27" i="1"/>
  <c r="AA27" i="1" s="1"/>
  <c r="K27" i="1"/>
  <c r="CR26" i="1"/>
  <c r="BY26" i="1"/>
  <c r="BX26" i="1"/>
  <c r="BW26" i="1"/>
  <c r="BU26" i="1"/>
  <c r="BS26" i="1"/>
  <c r="BQ26" i="1"/>
  <c r="BO26" i="1"/>
  <c r="BM26" i="1"/>
  <c r="BK26" i="1"/>
  <c r="BI26" i="1"/>
  <c r="BG26" i="1"/>
  <c r="BE26" i="1"/>
  <c r="Z26" i="1"/>
  <c r="Y26" i="1"/>
  <c r="AA26" i="1" s="1"/>
  <c r="K26" i="1"/>
  <c r="CR25" i="1"/>
  <c r="BY25" i="1"/>
  <c r="BX25" i="1"/>
  <c r="BW25" i="1"/>
  <c r="BU25" i="1"/>
  <c r="BS25" i="1"/>
  <c r="BQ25" i="1"/>
  <c r="BO25" i="1"/>
  <c r="BM25" i="1"/>
  <c r="BK25" i="1"/>
  <c r="BI25" i="1"/>
  <c r="BG25" i="1"/>
  <c r="BE25" i="1"/>
  <c r="AJ25" i="1"/>
  <c r="AH25" i="1"/>
  <c r="AA25" i="1"/>
  <c r="Z25" i="1"/>
  <c r="Y25" i="1"/>
  <c r="K25" i="1"/>
  <c r="CR24" i="1"/>
  <c r="BY24" i="1"/>
  <c r="BX24" i="1"/>
  <c r="BW24" i="1"/>
  <c r="BU24" i="1"/>
  <c r="BS24" i="1"/>
  <c r="BQ24" i="1"/>
  <c r="BO24" i="1"/>
  <c r="BM24" i="1"/>
  <c r="BK24" i="1"/>
  <c r="BI24" i="1"/>
  <c r="BG24" i="1"/>
  <c r="BE24" i="1"/>
  <c r="AJ24" i="1"/>
  <c r="AH24" i="1"/>
  <c r="Z24" i="1"/>
  <c r="Y24" i="1"/>
  <c r="AA24" i="1" s="1"/>
  <c r="K24" i="1"/>
  <c r="CR23" i="1"/>
  <c r="BY23" i="1"/>
  <c r="BX23" i="1"/>
  <c r="BW23" i="1"/>
  <c r="BU23" i="1"/>
  <c r="BS23" i="1"/>
  <c r="BQ23" i="1"/>
  <c r="BO23" i="1"/>
  <c r="BM23" i="1"/>
  <c r="BK23" i="1"/>
  <c r="BI23" i="1"/>
  <c r="BG23" i="1"/>
  <c r="BE23" i="1"/>
  <c r="AJ23" i="1"/>
  <c r="AH23" i="1"/>
  <c r="AA23" i="1"/>
  <c r="Z23" i="1"/>
  <c r="Y23" i="1"/>
  <c r="K23" i="1"/>
  <c r="K85" i="1" s="1"/>
  <c r="CR22" i="1"/>
  <c r="BY22" i="1"/>
  <c r="BX22" i="1"/>
  <c r="BW22" i="1"/>
  <c r="BU22" i="1"/>
  <c r="BS22" i="1"/>
  <c r="BQ22" i="1"/>
  <c r="BO22" i="1"/>
  <c r="BM22" i="1"/>
  <c r="BK22" i="1"/>
  <c r="BI22" i="1"/>
  <c r="BG22" i="1"/>
  <c r="BE22" i="1"/>
  <c r="AA22" i="1"/>
  <c r="Z22" i="1"/>
  <c r="Y22" i="1"/>
  <c r="K22" i="1"/>
  <c r="CR21" i="1"/>
  <c r="BY21" i="1"/>
  <c r="BX21" i="1"/>
  <c r="BW21" i="1"/>
  <c r="BU21" i="1"/>
  <c r="BS21" i="1"/>
  <c r="BQ21" i="1"/>
  <c r="BO21" i="1"/>
  <c r="BM21" i="1"/>
  <c r="BK21" i="1"/>
  <c r="BI21" i="1"/>
  <c r="BG21" i="1"/>
  <c r="BE21" i="1"/>
  <c r="AO21" i="1"/>
  <c r="AN21" i="1"/>
  <c r="Z21" i="1"/>
  <c r="Y21" i="1"/>
  <c r="AA21" i="1" s="1"/>
  <c r="K21" i="1"/>
  <c r="CR20" i="1"/>
  <c r="BY20" i="1"/>
  <c r="BX20" i="1"/>
  <c r="BW20" i="1"/>
  <c r="BU20" i="1"/>
  <c r="BS20" i="1"/>
  <c r="BQ20" i="1"/>
  <c r="BO20" i="1"/>
  <c r="BM20" i="1"/>
  <c r="BK20" i="1"/>
  <c r="BI20" i="1"/>
  <c r="BG20" i="1"/>
  <c r="BE20" i="1"/>
  <c r="AJ20" i="1"/>
  <c r="AH20" i="1"/>
  <c r="Z20" i="1"/>
  <c r="Y20" i="1"/>
  <c r="AA20" i="1" s="1"/>
  <c r="K20" i="1"/>
  <c r="K82" i="1" s="1"/>
  <c r="CR19" i="1"/>
  <c r="BY19" i="1"/>
  <c r="BX19" i="1"/>
  <c r="BW19" i="1"/>
  <c r="BU19" i="1"/>
  <c r="BS19" i="1"/>
  <c r="BQ19" i="1"/>
  <c r="BO19" i="1"/>
  <c r="BM19" i="1"/>
  <c r="BK19" i="1"/>
  <c r="BI19" i="1"/>
  <c r="BG19" i="1"/>
  <c r="BE19" i="1"/>
  <c r="AJ19" i="1"/>
  <c r="AH19" i="1"/>
  <c r="AA19" i="1"/>
  <c r="Z19" i="1"/>
  <c r="Y19" i="1"/>
  <c r="K19" i="1"/>
  <c r="CR18" i="1"/>
  <c r="BY18" i="1"/>
  <c r="BX18" i="1"/>
  <c r="BW18" i="1"/>
  <c r="Z18" i="1"/>
  <c r="Y18" i="1"/>
  <c r="AA18" i="1" s="1"/>
  <c r="K18" i="1"/>
  <c r="CR17" i="1"/>
  <c r="BY17" i="1"/>
  <c r="BX17" i="1"/>
  <c r="BW17" i="1"/>
  <c r="BU17" i="1"/>
  <c r="BS17" i="1"/>
  <c r="BQ17" i="1"/>
  <c r="BO17" i="1"/>
  <c r="BM17" i="1"/>
  <c r="BK17" i="1"/>
  <c r="BI17" i="1"/>
  <c r="BG17" i="1"/>
  <c r="BE17" i="1"/>
  <c r="AJ17" i="1"/>
  <c r="AH17" i="1"/>
  <c r="Z17" i="1"/>
  <c r="Y17" i="1"/>
  <c r="AA17" i="1" s="1"/>
  <c r="K17" i="1"/>
  <c r="CR16" i="1"/>
  <c r="BY16" i="1"/>
  <c r="BX16" i="1"/>
  <c r="BW16" i="1"/>
  <c r="BU16" i="1"/>
  <c r="BS16" i="1"/>
  <c r="BQ16" i="1"/>
  <c r="BO16" i="1"/>
  <c r="BM16" i="1"/>
  <c r="BK16" i="1"/>
  <c r="BI16" i="1"/>
  <c r="BG16" i="1"/>
  <c r="BE16" i="1"/>
  <c r="AJ16" i="1"/>
  <c r="AH16" i="1"/>
  <c r="Z16" i="1"/>
  <c r="Y16" i="1"/>
  <c r="AA16" i="1" s="1"/>
  <c r="K16" i="1"/>
  <c r="CR15" i="1"/>
  <c r="BY15" i="1"/>
  <c r="BX15" i="1"/>
  <c r="BW15" i="1"/>
  <c r="BU15" i="1"/>
  <c r="BS15" i="1"/>
  <c r="BQ15" i="1"/>
  <c r="BO15" i="1"/>
  <c r="BM15" i="1"/>
  <c r="BK15" i="1"/>
  <c r="BI15" i="1"/>
  <c r="BG15" i="1"/>
  <c r="BE15" i="1"/>
  <c r="AJ15" i="1"/>
  <c r="AH15" i="1"/>
  <c r="Z15" i="1"/>
  <c r="AA15" i="1" s="1"/>
  <c r="Y15" i="1"/>
  <c r="K15" i="1"/>
  <c r="CR14" i="1"/>
  <c r="BY14" i="1"/>
  <c r="BX14" i="1"/>
  <c r="BW14" i="1"/>
  <c r="BU14" i="1"/>
  <c r="BS14" i="1"/>
  <c r="BQ14" i="1"/>
  <c r="BO14" i="1"/>
  <c r="BM14" i="1"/>
  <c r="BK14" i="1"/>
  <c r="BI14" i="1"/>
  <c r="BG14" i="1"/>
  <c r="BE14" i="1"/>
  <c r="AJ14" i="1"/>
  <c r="AH14" i="1"/>
  <c r="Z14" i="1"/>
  <c r="Y14" i="1"/>
  <c r="AA14" i="1" s="1"/>
  <c r="K14" i="1"/>
  <c r="K87" i="1" s="1"/>
  <c r="CR13" i="1"/>
  <c r="BY13" i="1"/>
  <c r="BX13" i="1"/>
  <c r="BW13" i="1"/>
  <c r="BU13" i="1"/>
  <c r="BS13" i="1"/>
  <c r="BQ13" i="1"/>
  <c r="BO13" i="1"/>
  <c r="BM13" i="1"/>
  <c r="BK13" i="1"/>
  <c r="BI13" i="1"/>
  <c r="BG13" i="1"/>
  <c r="BE13" i="1"/>
  <c r="Z13" i="1"/>
  <c r="AA13" i="1" s="1"/>
  <c r="Y13" i="1"/>
  <c r="K13" i="1"/>
  <c r="CR12" i="1"/>
  <c r="BY12" i="1"/>
  <c r="BX12" i="1"/>
  <c r="BW12" i="1"/>
  <c r="BU12" i="1"/>
  <c r="BS12" i="1"/>
  <c r="BQ12" i="1"/>
  <c r="BO12" i="1"/>
  <c r="BM12" i="1"/>
  <c r="BK12" i="1"/>
  <c r="BI12" i="1"/>
  <c r="BG12" i="1"/>
  <c r="BE12" i="1"/>
  <c r="AA12" i="1"/>
  <c r="Z12" i="1"/>
  <c r="Y12" i="1"/>
  <c r="K12" i="1"/>
  <c r="CR11" i="1"/>
  <c r="BY11" i="1"/>
  <c r="BX11" i="1"/>
  <c r="BW11" i="1"/>
  <c r="BU11" i="1"/>
  <c r="BS11" i="1"/>
  <c r="BQ11" i="1"/>
  <c r="BO11" i="1"/>
  <c r="BM11" i="1"/>
  <c r="BK11" i="1"/>
  <c r="BI11" i="1"/>
  <c r="BG11" i="1"/>
  <c r="BE11" i="1"/>
  <c r="AJ11" i="1"/>
  <c r="AH11" i="1"/>
  <c r="Z11" i="1"/>
  <c r="Y11" i="1"/>
  <c r="AA11" i="1" s="1"/>
  <c r="K11" i="1"/>
  <c r="CR10" i="1"/>
  <c r="BY10" i="1"/>
  <c r="BX10" i="1"/>
  <c r="BW10" i="1"/>
  <c r="BU10" i="1"/>
  <c r="BS10" i="1"/>
  <c r="BQ10" i="1"/>
  <c r="BO10" i="1"/>
  <c r="BM10" i="1"/>
  <c r="BK10" i="1"/>
  <c r="BI10" i="1"/>
  <c r="BG10" i="1"/>
  <c r="BE10" i="1"/>
  <c r="AJ10" i="1"/>
  <c r="AH10" i="1"/>
  <c r="Z10" i="1"/>
  <c r="Y10" i="1"/>
  <c r="AA10" i="1" s="1"/>
  <c r="K10" i="1"/>
  <c r="BY9" i="1"/>
  <c r="BX9" i="1"/>
  <c r="BW9" i="1"/>
  <c r="BU9" i="1"/>
  <c r="BS9" i="1"/>
  <c r="BQ9" i="1"/>
  <c r="BO9" i="1"/>
  <c r="BM9" i="1"/>
  <c r="BK9" i="1"/>
  <c r="BI9" i="1"/>
  <c r="BG9" i="1"/>
  <c r="BE9" i="1"/>
  <c r="AJ9" i="1"/>
  <c r="AH9" i="1"/>
  <c r="Z9" i="1"/>
  <c r="Y9" i="1"/>
  <c r="AA9" i="1" s="1"/>
  <c r="K9" i="1"/>
  <c r="CR8" i="1"/>
  <c r="BY8" i="1"/>
  <c r="BX8" i="1"/>
  <c r="BW8" i="1"/>
  <c r="BU8" i="1"/>
  <c r="BS8" i="1"/>
  <c r="BQ8" i="1"/>
  <c r="BO8" i="1"/>
  <c r="BM8" i="1"/>
  <c r="BK8" i="1"/>
  <c r="BI8" i="1"/>
  <c r="BG8" i="1"/>
  <c r="BE8" i="1"/>
  <c r="AJ8" i="1"/>
  <c r="AH8" i="1"/>
  <c r="Z8" i="1"/>
  <c r="AA8" i="1" s="1"/>
  <c r="Y8" i="1"/>
  <c r="K8" i="1"/>
  <c r="CR7" i="1"/>
  <c r="BY7" i="1"/>
  <c r="BX7" i="1"/>
  <c r="BW7" i="1"/>
  <c r="BU7" i="1"/>
  <c r="BS7" i="1"/>
  <c r="BQ7" i="1"/>
  <c r="BO7" i="1"/>
  <c r="BM7" i="1"/>
  <c r="BK7" i="1"/>
  <c r="BI7" i="1"/>
  <c r="BG7" i="1"/>
  <c r="BE7" i="1"/>
  <c r="AJ7" i="1"/>
  <c r="AH7" i="1"/>
  <c r="Z7" i="1"/>
  <c r="Y7" i="1"/>
  <c r="AA7" i="1" s="1"/>
  <c r="K7" i="1"/>
  <c r="CR6" i="1"/>
  <c r="BY6" i="1"/>
  <c r="BX6" i="1"/>
  <c r="BW6" i="1"/>
  <c r="BU6" i="1"/>
  <c r="BS6" i="1"/>
  <c r="BQ6" i="1"/>
  <c r="BO6" i="1"/>
  <c r="BM6" i="1"/>
  <c r="BK6" i="1"/>
  <c r="BI6" i="1"/>
  <c r="BG6" i="1"/>
  <c r="BE6" i="1"/>
  <c r="AJ6" i="1"/>
  <c r="AH6" i="1"/>
  <c r="AA6" i="1"/>
  <c r="Z6" i="1"/>
  <c r="Y6" i="1"/>
  <c r="K6" i="1"/>
  <c r="CR5" i="1"/>
  <c r="BY5" i="1"/>
  <c r="BX5" i="1"/>
  <c r="BW5" i="1"/>
  <c r="BU5" i="1"/>
  <c r="BS5" i="1"/>
  <c r="BQ5" i="1"/>
  <c r="BO5" i="1"/>
  <c r="BM5" i="1"/>
  <c r="BK5" i="1"/>
  <c r="BI5" i="1"/>
  <c r="BG5" i="1"/>
  <c r="BE5" i="1"/>
  <c r="AJ5" i="1"/>
  <c r="AH5" i="1"/>
  <c r="Z5" i="1"/>
  <c r="Y5" i="1"/>
  <c r="AA5" i="1" s="1"/>
  <c r="K5" i="1"/>
  <c r="K79" i="1" s="1"/>
  <c r="CR4" i="1"/>
  <c r="BY4" i="1"/>
  <c r="BX4" i="1"/>
  <c r="BW4" i="1"/>
  <c r="BU4" i="1"/>
  <c r="BS4" i="1"/>
  <c r="BQ4" i="1"/>
  <c r="BO4" i="1"/>
  <c r="BM4" i="1"/>
  <c r="BK4" i="1"/>
  <c r="BI4" i="1"/>
  <c r="BG4" i="1"/>
  <c r="BE4" i="1"/>
  <c r="AJ4" i="1"/>
  <c r="AH4" i="1"/>
  <c r="Z4" i="1"/>
  <c r="Y4" i="1"/>
  <c r="AA4" i="1" s="1"/>
  <c r="K4" i="1"/>
  <c r="K86" i="1" s="1"/>
  <c r="CR3" i="1"/>
  <c r="BY3" i="1"/>
  <c r="BX3" i="1"/>
  <c r="BW3" i="1"/>
  <c r="BU3" i="1"/>
  <c r="BS3" i="1"/>
  <c r="BQ3" i="1"/>
  <c r="BO3" i="1"/>
  <c r="BM3" i="1"/>
  <c r="BK3" i="1"/>
  <c r="BI3" i="1"/>
  <c r="BG3" i="1"/>
  <c r="BE3" i="1"/>
  <c r="AJ3" i="1"/>
  <c r="AH3" i="1"/>
  <c r="AA3" i="1"/>
  <c r="Z3" i="1"/>
  <c r="Y3" i="1"/>
  <c r="K3" i="1"/>
  <c r="CR2" i="1"/>
  <c r="BY2" i="1"/>
  <c r="BX2" i="1"/>
  <c r="BW2" i="1"/>
  <c r="BU2" i="1"/>
  <c r="BS2" i="1"/>
  <c r="BQ2" i="1"/>
  <c r="BO2" i="1"/>
  <c r="BM2" i="1"/>
  <c r="BK2" i="1"/>
  <c r="BI2" i="1"/>
  <c r="BG2" i="1"/>
  <c r="BE2" i="1"/>
  <c r="AJ2" i="1"/>
  <c r="AH2" i="1"/>
  <c r="Z2" i="1"/>
  <c r="Y2" i="1"/>
  <c r="AA2" i="1" s="1"/>
  <c r="K2" i="1"/>
  <c r="BS124" i="1" l="1"/>
  <c r="BE119" i="1"/>
  <c r="BE122" i="1"/>
  <c r="BQ79" i="1"/>
  <c r="BS96" i="1"/>
  <c r="BI95" i="1"/>
  <c r="BQ114" i="1"/>
  <c r="BE105" i="1"/>
  <c r="BE118" i="1"/>
  <c r="BK105" i="1"/>
  <c r="BK117" i="1"/>
  <c r="BK118" i="1"/>
  <c r="BS123" i="1"/>
  <c r="BW92" i="1"/>
  <c r="BK115" i="1"/>
  <c r="BK91" i="1"/>
  <c r="BK111" i="1"/>
  <c r="BG100" i="1"/>
  <c r="BU98" i="1"/>
  <c r="BO96" i="1"/>
  <c r="BS113" i="1"/>
  <c r="BS114" i="1"/>
  <c r="BW115" i="1"/>
  <c r="BW96" i="1"/>
  <c r="BW110" i="1"/>
  <c r="BM109" i="1"/>
  <c r="BI104" i="1"/>
  <c r="BS104" i="1"/>
  <c r="BK102" i="1"/>
  <c r="BW104" i="1"/>
  <c r="BG105" i="1"/>
  <c r="BI105" i="1"/>
  <c r="BM105" i="1"/>
  <c r="BE107" i="1"/>
  <c r="BO105" i="1"/>
  <c r="BK107" i="1"/>
  <c r="BG79" i="1"/>
  <c r="BG87" i="1"/>
  <c r="BE88" i="1"/>
  <c r="BQ105" i="1"/>
  <c r="BM107" i="1"/>
  <c r="BE78" i="1"/>
  <c r="BI79" i="1"/>
  <c r="BE83" i="1"/>
  <c r="BE85" i="1"/>
  <c r="BI87" i="1"/>
  <c r="BG88" i="1"/>
  <c r="BW105" i="1"/>
  <c r="BQ107" i="1"/>
  <c r="BE109" i="1"/>
  <c r="BE126" i="1"/>
  <c r="BQ78" i="1"/>
  <c r="BK79" i="1"/>
  <c r="BW82" i="1"/>
  <c r="BG83" i="1"/>
  <c r="BI85" i="1"/>
  <c r="BI88" i="1"/>
  <c r="BU107" i="1"/>
  <c r="BG109" i="1"/>
  <c r="BM79" i="1"/>
  <c r="BM83" i="1"/>
  <c r="BM85" i="1"/>
  <c r="BK88" i="1"/>
  <c r="BE95" i="1"/>
  <c r="BW107" i="1"/>
  <c r="BI109" i="1"/>
  <c r="BO79" i="1"/>
  <c r="BI81" i="1"/>
  <c r="BO83" i="1"/>
  <c r="BO85" i="1"/>
  <c r="BM88" i="1"/>
  <c r="BU90" i="1"/>
  <c r="BE91" i="1"/>
  <c r="BK93" i="1"/>
  <c r="BW94" i="1"/>
  <c r="BG95" i="1"/>
  <c r="BK109" i="1"/>
  <c r="BE111" i="1"/>
  <c r="BO88" i="1"/>
  <c r="BG111" i="1"/>
  <c r="BU79" i="1"/>
  <c r="BQ88" i="1"/>
  <c r="BM91" i="1"/>
  <c r="BS95" i="1"/>
  <c r="BE96" i="1"/>
  <c r="BI102" i="1"/>
  <c r="BO109" i="1"/>
  <c r="BI111" i="1"/>
  <c r="BI113" i="1"/>
  <c r="BK114" i="1"/>
  <c r="BW79" i="1"/>
  <c r="BW88" i="1"/>
  <c r="BW95" i="1"/>
  <c r="BG96" i="1"/>
  <c r="BS101" i="1"/>
  <c r="BE104" i="1"/>
  <c r="BE115" i="1"/>
  <c r="BM96" i="1"/>
  <c r="BK98" i="1"/>
  <c r="BM100" i="1"/>
  <c r="BW102" i="1"/>
  <c r="BW103" i="1"/>
  <c r="BG104" i="1"/>
  <c r="BM111" i="1"/>
  <c r="BG115" i="1"/>
  <c r="BS119" i="1"/>
  <c r="BM93" i="1"/>
  <c r="BS87" i="1"/>
  <c r="BW93" i="1"/>
  <c r="BO94" i="1"/>
  <c r="BO98" i="1"/>
  <c r="BU114" i="1"/>
  <c r="BU86" i="1"/>
  <c r="BM98" i="1"/>
  <c r="BE81" i="1"/>
  <c r="BW87" i="1"/>
  <c r="BQ94" i="1"/>
  <c r="BQ98" i="1"/>
  <c r="BS110" i="1"/>
  <c r="BW114" i="1"/>
  <c r="BE121" i="1"/>
  <c r="BS79" i="1"/>
  <c r="BG81" i="1"/>
  <c r="BS94" i="1"/>
  <c r="BS98" i="1"/>
  <c r="BE100" i="1"/>
  <c r="BU110" i="1"/>
  <c r="BE117" i="1"/>
  <c r="BE120" i="1"/>
  <c r="BW98" i="1"/>
  <c r="BI100" i="1"/>
  <c r="BS117" i="1"/>
  <c r="BK120" i="1"/>
  <c r="BK81" i="1"/>
  <c r="BM81" i="1"/>
  <c r="BK100" i="1"/>
  <c r="BU117" i="1"/>
  <c r="BK119" i="1"/>
  <c r="BO81" i="1"/>
  <c r="BQ81" i="1"/>
  <c r="BI83" i="1"/>
  <c r="BS88" i="1"/>
  <c r="BG91" i="1"/>
  <c r="BI96" i="1"/>
  <c r="BO100" i="1"/>
  <c r="BU101" i="1"/>
  <c r="BE102" i="1"/>
  <c r="BS105" i="1"/>
  <c r="BG107" i="1"/>
  <c r="BW111" i="1"/>
  <c r="BS112" i="1"/>
  <c r="BE113" i="1"/>
  <c r="BS81" i="1"/>
  <c r="BK83" i="1"/>
  <c r="BI91" i="1"/>
  <c r="BK96" i="1"/>
  <c r="BW101" i="1"/>
  <c r="BG102" i="1"/>
  <c r="BI107" i="1"/>
  <c r="BW112" i="1"/>
  <c r="BG113" i="1"/>
  <c r="BS92" i="1"/>
  <c r="BE114" i="1"/>
  <c r="BS125" i="1"/>
  <c r="BG78" i="1"/>
  <c r="BU84" i="1"/>
  <c r="BI78" i="1"/>
  <c r="BQ83" i="1"/>
  <c r="BW84" i="1"/>
  <c r="BG85" i="1"/>
  <c r="BO91" i="1"/>
  <c r="BU92" i="1"/>
  <c r="BE93" i="1"/>
  <c r="BQ96" i="1"/>
  <c r="BE98" i="1"/>
  <c r="BM102" i="1"/>
  <c r="BO107" i="1"/>
  <c r="BW113" i="1"/>
  <c r="BG114" i="1"/>
  <c r="BG93" i="1"/>
  <c r="BG98" i="1"/>
  <c r="BO103" i="1"/>
  <c r="BS78" i="1"/>
  <c r="BK85" i="1"/>
  <c r="BQ86" i="1"/>
  <c r="BE87" i="1"/>
  <c r="BI93" i="1"/>
  <c r="BS103" i="1"/>
  <c r="BM80" i="1"/>
  <c r="BI82" i="1"/>
  <c r="BG84" i="1"/>
  <c r="BW85" i="1"/>
  <c r="BE86" i="1"/>
  <c r="BQ87" i="1"/>
  <c r="BW89" i="1"/>
  <c r="BE90" i="1"/>
  <c r="BG92" i="1"/>
  <c r="BU93" i="1"/>
  <c r="BQ95" i="1"/>
  <c r="BM97" i="1"/>
  <c r="BI99" i="1"/>
  <c r="BG101" i="1"/>
  <c r="BU102" i="1"/>
  <c r="BQ104" i="1"/>
  <c r="BM106" i="1"/>
  <c r="BI108" i="1"/>
  <c r="BG110" i="1"/>
  <c r="BU111" i="1"/>
  <c r="BQ113" i="1"/>
  <c r="BU115" i="1"/>
  <c r="BE103" i="1"/>
  <c r="BE116" i="1"/>
  <c r="K81" i="1"/>
  <c r="BI84" i="1"/>
  <c r="BK90" i="1"/>
  <c r="BI92" i="1"/>
  <c r="BE94" i="1"/>
  <c r="BO97" i="1"/>
  <c r="BK99" i="1"/>
  <c r="BI101" i="1"/>
  <c r="BO106" i="1"/>
  <c r="BK108" i="1"/>
  <c r="BI110" i="1"/>
  <c r="BE112" i="1"/>
  <c r="BU78" i="1"/>
  <c r="BQ80" i="1"/>
  <c r="BM82" i="1"/>
  <c r="K83" i="1"/>
  <c r="BM84" i="1"/>
  <c r="BI86" i="1"/>
  <c r="BU87" i="1"/>
  <c r="BM90" i="1"/>
  <c r="BK92" i="1"/>
  <c r="BG94" i="1"/>
  <c r="BU95" i="1"/>
  <c r="BQ97" i="1"/>
  <c r="BM99" i="1"/>
  <c r="BK101" i="1"/>
  <c r="BG103" i="1"/>
  <c r="BU104" i="1"/>
  <c r="BQ106" i="1"/>
  <c r="BM108" i="1"/>
  <c r="BK110" i="1"/>
  <c r="BG112" i="1"/>
  <c r="BU113" i="1"/>
  <c r="BK116" i="1"/>
  <c r="BO80" i="1"/>
  <c r="BK82" i="1"/>
  <c r="BG86" i="1"/>
  <c r="BW78" i="1"/>
  <c r="BS80" i="1"/>
  <c r="BO82" i="1"/>
  <c r="BO84" i="1"/>
  <c r="BK86" i="1"/>
  <c r="BO90" i="1"/>
  <c r="BM92" i="1"/>
  <c r="BI94" i="1"/>
  <c r="BS97" i="1"/>
  <c r="BO99" i="1"/>
  <c r="BM101" i="1"/>
  <c r="BI103" i="1"/>
  <c r="BS106" i="1"/>
  <c r="BO108" i="1"/>
  <c r="BM110" i="1"/>
  <c r="BI112" i="1"/>
  <c r="BQ116" i="1"/>
  <c r="BU80" i="1"/>
  <c r="BQ82" i="1"/>
  <c r="BQ84" i="1"/>
  <c r="BM86" i="1"/>
  <c r="BQ90" i="1"/>
  <c r="BO92" i="1"/>
  <c r="BK94" i="1"/>
  <c r="BU97" i="1"/>
  <c r="BQ99" i="1"/>
  <c r="BO101" i="1"/>
  <c r="BK103" i="1"/>
  <c r="BU106" i="1"/>
  <c r="BQ108" i="1"/>
  <c r="BO110" i="1"/>
  <c r="BK112" i="1"/>
  <c r="BS116" i="1"/>
  <c r="BW80" i="1"/>
  <c r="BS82" i="1"/>
  <c r="BS84" i="1"/>
  <c r="BO86" i="1"/>
  <c r="BS90" i="1"/>
  <c r="BQ92" i="1"/>
  <c r="BM94" i="1"/>
  <c r="BW97" i="1"/>
  <c r="BS99" i="1"/>
  <c r="BQ101" i="1"/>
  <c r="BM103" i="1"/>
  <c r="BW106" i="1"/>
  <c r="BS108" i="1"/>
  <c r="BQ110" i="1"/>
  <c r="BM112" i="1"/>
  <c r="BU116" i="1"/>
  <c r="BU99" i="1"/>
  <c r="BU108" i="1"/>
  <c r="BO112" i="1"/>
  <c r="BS86" i="1"/>
  <c r="BW99" i="1"/>
  <c r="BQ103" i="1"/>
  <c r="BW108" i="1"/>
  <c r="BQ112" i="1"/>
  <c r="BE80" i="1"/>
  <c r="BG89" i="1"/>
  <c r="BE97" i="1"/>
  <c r="BE106" i="1"/>
  <c r="BK78" i="1"/>
  <c r="BG80" i="1"/>
  <c r="BU81" i="1"/>
  <c r="BS83" i="1"/>
  <c r="BQ85" i="1"/>
  <c r="BK87" i="1"/>
  <c r="BI89" i="1"/>
  <c r="BQ91" i="1"/>
  <c r="BO93" i="1"/>
  <c r="BK95" i="1"/>
  <c r="BG97" i="1"/>
  <c r="BQ100" i="1"/>
  <c r="BO102" i="1"/>
  <c r="BK104" i="1"/>
  <c r="BG106" i="1"/>
  <c r="BQ109" i="1"/>
  <c r="BO111" i="1"/>
  <c r="BK113" i="1"/>
  <c r="BO115" i="1"/>
  <c r="BM78" i="1"/>
  <c r="BI80" i="1"/>
  <c r="BE82" i="1"/>
  <c r="BU83" i="1"/>
  <c r="BS85" i="1"/>
  <c r="BM87" i="1"/>
  <c r="BK89" i="1"/>
  <c r="BS91" i="1"/>
  <c r="BQ93" i="1"/>
  <c r="BM95" i="1"/>
  <c r="BI97" i="1"/>
  <c r="BE99" i="1"/>
  <c r="BS100" i="1"/>
  <c r="BQ102" i="1"/>
  <c r="BM104" i="1"/>
  <c r="BI106" i="1"/>
  <c r="BE108" i="1"/>
  <c r="BS109" i="1"/>
  <c r="BQ111" i="1"/>
  <c r="BM113" i="1"/>
  <c r="BQ115" i="1"/>
</calcChain>
</file>

<file path=xl/sharedStrings.xml><?xml version="1.0" encoding="utf-8"?>
<sst xmlns="http://schemas.openxmlformats.org/spreadsheetml/2006/main" count="636" uniqueCount="240">
  <si>
    <t>Joueur</t>
  </si>
  <si>
    <t>Date</t>
  </si>
  <si>
    <t>Poste</t>
  </si>
  <si>
    <t>Date Naissance</t>
  </si>
  <si>
    <t>Zone</t>
  </si>
  <si>
    <t>Outil</t>
  </si>
  <si>
    <t>Test</t>
  </si>
  <si>
    <t>Indicateur</t>
  </si>
  <si>
    <t>Valeur</t>
  </si>
  <si>
    <t>Date Blessure</t>
  </si>
  <si>
    <t>Durée Estimée</t>
  </si>
  <si>
    <t>Date Rehab Salle</t>
  </si>
  <si>
    <t>Date Retour Terrain</t>
  </si>
  <si>
    <t>Date Groupe Foot</t>
  </si>
  <si>
    <t>Statut</t>
  </si>
  <si>
    <t>N° GPS</t>
  </si>
  <si>
    <t>Latéralité</t>
  </si>
  <si>
    <t>Position</t>
  </si>
  <si>
    <t>Date de Naissance</t>
  </si>
  <si>
    <t>Equipe</t>
  </si>
  <si>
    <t>Age</t>
  </si>
  <si>
    <t>Poids (kg)</t>
  </si>
  <si>
    <t>Taille (cm)</t>
  </si>
  <si>
    <t>Masse grasse</t>
  </si>
  <si>
    <t>Session exact</t>
  </si>
  <si>
    <t>Session</t>
  </si>
  <si>
    <t>Wattbike 6s (W)</t>
  </si>
  <si>
    <t>Nordic G</t>
  </si>
  <si>
    <t>Nordic D</t>
  </si>
  <si>
    <t>Inverseur G</t>
  </si>
  <si>
    <t>Inverseur D</t>
  </si>
  <si>
    <t>Everseur G</t>
  </si>
  <si>
    <t>Everseur D</t>
  </si>
  <si>
    <t>Adducteur G</t>
  </si>
  <si>
    <t>Adducteur D</t>
  </si>
  <si>
    <t>Abducteur G</t>
  </si>
  <si>
    <t>Abducteur D</t>
  </si>
  <si>
    <t>Somme ADD</t>
  </si>
  <si>
    <t>Somme ABD</t>
  </si>
  <si>
    <t>Ratio Squeeze (ADD/ABD)</t>
  </si>
  <si>
    <t>Endurance Heel Raise G</t>
  </si>
  <si>
    <t>Endurance Heel Raise D</t>
  </si>
  <si>
    <t>Knee to wall G</t>
  </si>
  <si>
    <t>Knee to wall D</t>
  </si>
  <si>
    <t>Sit and reach</t>
  </si>
  <si>
    <t>90/20 G (N)</t>
  </si>
  <si>
    <t>90/20 G (N/kg)</t>
  </si>
  <si>
    <t>90/20 D (N)</t>
  </si>
  <si>
    <t>90/20 D (N/kg)</t>
  </si>
  <si>
    <t>Ankle push G</t>
  </si>
  <si>
    <t>Ankle push D</t>
  </si>
  <si>
    <t>CMJ 2JB</t>
  </si>
  <si>
    <t>Peak Force CMJ</t>
  </si>
  <si>
    <t>RFD CMJ</t>
  </si>
  <si>
    <t>RSI</t>
  </si>
  <si>
    <t>Squat belt (N)</t>
  </si>
  <si>
    <t>SV1</t>
  </si>
  <si>
    <t>SV2</t>
  </si>
  <si>
    <t>FC</t>
  </si>
  <si>
    <t>VMA</t>
  </si>
  <si>
    <t>Test 1km (s)</t>
  </si>
  <si>
    <t>Distance totale</t>
  </si>
  <si>
    <t>Distance HSR</t>
  </si>
  <si>
    <t>Distance Sprint (92% Vimax)</t>
  </si>
  <si>
    <t>Amax</t>
  </si>
  <si>
    <t>Dmax</t>
  </si>
  <si>
    <t>Vmax</t>
  </si>
  <si>
    <t>Temps sur 10m</t>
  </si>
  <si>
    <t>Q G conc 60°/s</t>
  </si>
  <si>
    <t>Q G conc 60°/s (N/kg)</t>
  </si>
  <si>
    <t>Q Dt conc 60°/s</t>
  </si>
  <si>
    <t>Q Dt conc 60°/s (N/kg)</t>
  </si>
  <si>
    <t>Q G conc 240°/s</t>
  </si>
  <si>
    <t>Q G conc 240°/s (N/kg)</t>
  </si>
  <si>
    <t>Q Dt conc 240°/s</t>
  </si>
  <si>
    <t>Q Dt conc 240°/s (N/kg)</t>
  </si>
  <si>
    <t>IJ G conc 60°/s</t>
  </si>
  <si>
    <t>IJ G conc 60°/s (N/kg)</t>
  </si>
  <si>
    <t>IJ Dt conc 60°/s</t>
  </si>
  <si>
    <t>IJ Dt conc 60°/s (N/kg)</t>
  </si>
  <si>
    <t>IJ G conc 240°/s</t>
  </si>
  <si>
    <t>IJ G conc 240°/s (N/kg)</t>
  </si>
  <si>
    <t>IJ Dt conc 240°/s</t>
  </si>
  <si>
    <t>IJ Dt conc 240°/s (N/kg)</t>
  </si>
  <si>
    <t>IJ G Exc 30°/s</t>
  </si>
  <si>
    <t>IJ G Exc 30°/s (N/kg)</t>
  </si>
  <si>
    <t>IJ Dt exc 30°/s</t>
  </si>
  <si>
    <t>IJ Dt exc 30°/s (N/kg)</t>
  </si>
  <si>
    <t>Ratio Mixte G</t>
  </si>
  <si>
    <t>Ratio Mixte D</t>
  </si>
  <si>
    <t>Isak_triceps</t>
  </si>
  <si>
    <t>Isak_sousscapulaire</t>
  </si>
  <si>
    <t>Isak_biceps</t>
  </si>
  <si>
    <t>Isak_crete</t>
  </si>
  <si>
    <t>Isak_supraspinale</t>
  </si>
  <si>
    <t>Isak_abdominal</t>
  </si>
  <si>
    <t>Isak_cuisse</t>
  </si>
  <si>
    <t>Isak_jambe</t>
  </si>
  <si>
    <t>Pied départ 1080</t>
  </si>
  <si>
    <t>Distance 1080 (m)</t>
  </si>
  <si>
    <t>Resistance 1080 (kg)</t>
  </si>
  <si>
    <t>Temps total 1080 (s)</t>
  </si>
  <si>
    <t>Temps 0-5 1080 (s)</t>
  </si>
  <si>
    <t>Amax 1080 (m/s²)</t>
  </si>
  <si>
    <t>Pmax 1080 (W/Kg)</t>
  </si>
  <si>
    <t>Pmax 1080 (W)</t>
  </si>
  <si>
    <t>Vmax 1080 (m/s)</t>
  </si>
  <si>
    <t>Vmax 1080 (Km/h)</t>
  </si>
  <si>
    <t>%Vmax 1080</t>
  </si>
  <si>
    <t>Tau 1080 (s)</t>
  </si>
  <si>
    <t>T90 1080 (s)</t>
  </si>
  <si>
    <t>D90 1080 (m)</t>
  </si>
  <si>
    <t>Momentum 1080 (Kg*m/s)</t>
  </si>
  <si>
    <t>F0 1080 (N/kg)</t>
  </si>
  <si>
    <t>F0 1080 (N)</t>
  </si>
  <si>
    <t>V0 1080 (m/s)</t>
  </si>
  <si>
    <t>V0 1080 (Km/h)</t>
  </si>
  <si>
    <t>Unloaded Speed 1080 (m/s)</t>
  </si>
  <si>
    <t>Unloaded Speed 1080 (Km/h)</t>
  </si>
  <si>
    <t>Symetrie 1080</t>
  </si>
  <si>
    <t>TTPP 1080</t>
  </si>
  <si>
    <t>Velocity Decrement 1080</t>
  </si>
  <si>
    <t>Favg 1080</t>
  </si>
  <si>
    <t>Fpeak 1080</t>
  </si>
  <si>
    <t>Max Decel 1080</t>
  </si>
  <si>
    <t>Amax transition 1080</t>
  </si>
  <si>
    <t>Decel Distance 1080</t>
  </si>
  <si>
    <t>Decel Time 1080</t>
  </si>
  <si>
    <t>Lopt 1080</t>
  </si>
  <si>
    <t>Charge Pmax 1080</t>
  </si>
  <si>
    <t>Charge 1</t>
  </si>
  <si>
    <t>Amax 1</t>
  </si>
  <si>
    <t>Vmax 1</t>
  </si>
  <si>
    <t>Charge 2</t>
  </si>
  <si>
    <t>Amax 2</t>
  </si>
  <si>
    <t>Vmax 2</t>
  </si>
  <si>
    <t>Charge 3</t>
  </si>
  <si>
    <t>Amax 3</t>
  </si>
  <si>
    <t>Vmax 3</t>
  </si>
  <si>
    <t>Charge 4</t>
  </si>
  <si>
    <t>Amax 4</t>
  </si>
  <si>
    <t>Vmax 4</t>
  </si>
  <si>
    <t>AKIEME Sergio</t>
  </si>
  <si>
    <t>G</t>
  </si>
  <si>
    <t>Défenseur</t>
  </si>
  <si>
    <t>DL</t>
  </si>
  <si>
    <t>PRO</t>
  </si>
  <si>
    <t>Pré-saison</t>
  </si>
  <si>
    <t>D</t>
  </si>
  <si>
    <t>BOJANG Adama</t>
  </si>
  <si>
    <t>Attaquant</t>
  </si>
  <si>
    <t>AT</t>
  </si>
  <si>
    <t>DARAMY Mohammed</t>
  </si>
  <si>
    <t>EXC</t>
  </si>
  <si>
    <t>DEBONDT Mael</t>
  </si>
  <si>
    <t>DIAKITE Oumar</t>
  </si>
  <si>
    <t>DIARRASSOUBA Tidiane</t>
  </si>
  <si>
    <t>EL KACHATI Youssef</t>
  </si>
  <si>
    <t>FOFANA Yaya</t>
  </si>
  <si>
    <t>Milieu</t>
  </si>
  <si>
    <t>MO</t>
  </si>
  <si>
    <t>GADOU Arone</t>
  </si>
  <si>
    <t xml:space="preserve"> </t>
  </si>
  <si>
    <t>GBANE Mory</t>
  </si>
  <si>
    <t>MD</t>
  </si>
  <si>
    <t>GUINDO Daouda</t>
  </si>
  <si>
    <t>HULSMANN RITZY Tom</t>
  </si>
  <si>
    <t>Gardien</t>
  </si>
  <si>
    <t>GB</t>
  </si>
  <si>
    <t>IBRAHIM Hafiz</t>
  </si>
  <si>
    <t>KOTTO Samuel</t>
  </si>
  <si>
    <t>DC</t>
  </si>
  <si>
    <t>LEONI Theo</t>
  </si>
  <si>
    <t>MC</t>
  </si>
  <si>
    <t>MAMBUKU Jean Tryfose</t>
  </si>
  <si>
    <t>NAKAMURA Keito</t>
  </si>
  <si>
    <t>NTAMON Elie</t>
  </si>
  <si>
    <t>OKUMU Joseph</t>
  </si>
  <si>
    <t xml:space="preserve">OMERAGIC Edin </t>
  </si>
  <si>
    <t>OTOMEWO John</t>
  </si>
  <si>
    <t>PATRICK John</t>
  </si>
  <si>
    <t>SAUVAGE Alexis</t>
  </si>
  <si>
    <t>SIEBATCHEU Jordy</t>
  </si>
  <si>
    <t>SOUMANO Sambou</t>
  </si>
  <si>
    <t>SYLLA Lenny</t>
  </si>
  <si>
    <t>SYLLA Soumaila</t>
  </si>
  <si>
    <t>Vélo</t>
  </si>
  <si>
    <t>TIA Martial</t>
  </si>
  <si>
    <t>ZOHOURI Armel</t>
  </si>
  <si>
    <t>DEMONCY Yohan</t>
  </si>
  <si>
    <t>ESPOIR</t>
  </si>
  <si>
    <t>JENG Malcom</t>
  </si>
  <si>
    <t>KHADRA Reda</t>
  </si>
  <si>
    <t>LEAUTEY Antoine</t>
  </si>
  <si>
    <t>SALAMA Amine</t>
  </si>
  <si>
    <t>SISSOKO Pape</t>
  </si>
  <si>
    <t xml:space="preserve"> CORNELIS Aristide</t>
  </si>
  <si>
    <t xml:space="preserve"> KOURANFAL Chamsedin</t>
  </si>
  <si>
    <t xml:space="preserve"> PARIS Quentin</t>
  </si>
  <si>
    <t>ATT</t>
  </si>
  <si>
    <t>CELESTIN Jean Philippe</t>
  </si>
  <si>
    <t>KONDE Jean Charle</t>
  </si>
  <si>
    <t>DANSOKHO Ansoumana</t>
  </si>
  <si>
    <t>FARADJI Ouassim</t>
  </si>
  <si>
    <t>KASHI Amine</t>
  </si>
  <si>
    <t>KENNETH Anthony</t>
  </si>
  <si>
    <t>MOSEYI Justin</t>
  </si>
  <si>
    <t>NDZANA Anthony</t>
  </si>
  <si>
    <t xml:space="preserve">   </t>
  </si>
  <si>
    <t>NOSEL Adam</t>
  </si>
  <si>
    <t>SOLVET Anddrys</t>
  </si>
  <si>
    <t>TITALOM Matheo</t>
  </si>
  <si>
    <t>22, 5</t>
  </si>
  <si>
    <t>TSOUH Justin</t>
  </si>
  <si>
    <t>AFFOUM Layan</t>
  </si>
  <si>
    <t>ELITE</t>
  </si>
  <si>
    <t>AFONSO Flavio</t>
  </si>
  <si>
    <t>AMORIM Theo</t>
  </si>
  <si>
    <t>BAH Thierno</t>
  </si>
  <si>
    <t>BOLOKO Calvin</t>
  </si>
  <si>
    <t>CAMARA Diadiouly</t>
  </si>
  <si>
    <t>DEFLORENNE Théo</t>
  </si>
  <si>
    <t>DIABY Moustapha</t>
  </si>
  <si>
    <t>DUBOIS Tom</t>
  </si>
  <si>
    <t>EYE TEMOU Louis Paul</t>
  </si>
  <si>
    <t>HAYAN Zahid</t>
  </si>
  <si>
    <t>KIE Khalil Liam</t>
  </si>
  <si>
    <t>MENDES Edmilson</t>
  </si>
  <si>
    <t>OKWARO Manzur</t>
  </si>
  <si>
    <t>OUATTARA Naser Papuss</t>
  </si>
  <si>
    <t>SANHA Dylan</t>
  </si>
  <si>
    <t>TRIDI Elies</t>
  </si>
  <si>
    <t>ORAZI Ike</t>
  </si>
  <si>
    <t xml:space="preserve">GUBOGLO Aleksandr </t>
  </si>
  <si>
    <t>LAT</t>
  </si>
  <si>
    <t xml:space="preserve">DEMBELE Seydou </t>
  </si>
  <si>
    <t xml:space="preserve">BELLAAROUCH Chouaib </t>
  </si>
  <si>
    <t>Rehab</t>
  </si>
  <si>
    <t>x</t>
  </si>
  <si>
    <t>(vide - JENG Malcom, absent de la liste)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</si>
</sst>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d\.m"/>
    <numFmt numFmtId="166" formatCode="dd/mm/yy"/>
  </numFmts>
  <fonts count="1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1"/>
      <color rgb="FF000000"/>
      <name val="&quot;\0022Aptos Narrow\0022&quot;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4" fontId="7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6" fillId="4" borderId="3" xfId="0" applyFont="1" applyFill="1" applyBorder="1" applyAlignment="1">
      <alignment horizontal="right" wrapText="1"/>
    </xf>
    <xf numFmtId="0" fontId="6" fillId="5" borderId="3" xfId="0" applyFont="1" applyFill="1" applyBorder="1" applyAlignment="1">
      <alignment horizontal="right" wrapText="1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8585"/>
          <bgColor rgb="FFFF8585"/>
        </patternFill>
      </fill>
    </dxf>
  </dxfs>
  <tableStyles count="1">
    <tableStyle name="Feu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Y272">
  <tableColumns count="129">
    <tableColumn id="1" xr3:uid="{00000000-0010-0000-0000-000001000000}" name="Joueur"/>
    <tableColumn id="2" xr3:uid="{00000000-0010-0000-0000-000002000000}" name="N° GPS"/>
    <tableColumn id="3" xr3:uid="{00000000-0010-0000-0000-000003000000}" name="Latéralité"/>
    <tableColumn id="4" xr3:uid="{00000000-0010-0000-0000-000004000000}" name="Poste"/>
    <tableColumn id="5" xr3:uid="{00000000-0010-0000-0000-000005000000}" name="Position"/>
    <tableColumn id="6" xr3:uid="{00000000-0010-0000-0000-000006000000}" name="Date de Naissance"/>
    <tableColumn id="7" xr3:uid="{00000000-0010-0000-0000-000007000000}" name="Equipe"/>
    <tableColumn id="8" xr3:uid="{00000000-0010-0000-0000-000008000000}" name="Age"/>
    <tableColumn id="9" xr3:uid="{00000000-0010-0000-0000-000009000000}" name="Poids (kg)"/>
    <tableColumn id="10" xr3:uid="{00000000-0010-0000-0000-00000A000000}" name="Taille (cm)"/>
    <tableColumn id="11" xr3:uid="{00000000-0010-0000-0000-00000B000000}" name="Masse grasse"/>
    <tableColumn id="12" xr3:uid="{00000000-0010-0000-0000-00000C000000}" name="Session exact"/>
    <tableColumn id="13" xr3:uid="{00000000-0010-0000-0000-00000D000000}" name="Session"/>
    <tableColumn id="14" xr3:uid="{00000000-0010-0000-0000-00000E000000}" name="Wattbike 6s (W)"/>
    <tableColumn id="15" xr3:uid="{00000000-0010-0000-0000-00000F000000}" name="Nordic G"/>
    <tableColumn id="16" xr3:uid="{00000000-0010-0000-0000-000010000000}" name="Nordic D"/>
    <tableColumn id="17" xr3:uid="{00000000-0010-0000-0000-000011000000}" name="Inverseur G"/>
    <tableColumn id="18" xr3:uid="{00000000-0010-0000-0000-000012000000}" name="Inverseur D"/>
    <tableColumn id="19" xr3:uid="{00000000-0010-0000-0000-000013000000}" name="Everseur G"/>
    <tableColumn id="20" xr3:uid="{00000000-0010-0000-0000-000014000000}" name="Everseur D"/>
    <tableColumn id="21" xr3:uid="{00000000-0010-0000-0000-000015000000}" name="Adducteur G"/>
    <tableColumn id="22" xr3:uid="{00000000-0010-0000-0000-000016000000}" name="Adducteur D"/>
    <tableColumn id="23" xr3:uid="{00000000-0010-0000-0000-000017000000}" name="Abducteur G"/>
    <tableColumn id="24" xr3:uid="{00000000-0010-0000-0000-000018000000}" name="Abducteur D"/>
    <tableColumn id="25" xr3:uid="{00000000-0010-0000-0000-000019000000}" name="Somme ADD"/>
    <tableColumn id="26" xr3:uid="{00000000-0010-0000-0000-00001A000000}" name="Somme ABD"/>
    <tableColumn id="27" xr3:uid="{00000000-0010-0000-0000-00001B000000}" name="Ratio Squeeze (ADD/ABD)"/>
    <tableColumn id="28" xr3:uid="{00000000-0010-0000-0000-00001C000000}" name="Endurance Heel Raise G"/>
    <tableColumn id="29" xr3:uid="{00000000-0010-0000-0000-00001D000000}" name="Endurance Heel Raise D"/>
    <tableColumn id="30" xr3:uid="{00000000-0010-0000-0000-00001E000000}" name="Knee to wall G"/>
    <tableColumn id="31" xr3:uid="{00000000-0010-0000-0000-00001F000000}" name="Knee to wall D"/>
    <tableColumn id="32" xr3:uid="{00000000-0010-0000-0000-000020000000}" name="Sit and reach"/>
    <tableColumn id="33" xr3:uid="{00000000-0010-0000-0000-000021000000}" name="90/20 G (N)"/>
    <tableColumn id="34" xr3:uid="{00000000-0010-0000-0000-000022000000}" name="90/20 G (N/kg)"/>
    <tableColumn id="35" xr3:uid="{00000000-0010-0000-0000-000023000000}" name="90/20 D (N)"/>
    <tableColumn id="36" xr3:uid="{00000000-0010-0000-0000-000024000000}" name="90/20 D (N/kg)"/>
    <tableColumn id="37" xr3:uid="{00000000-0010-0000-0000-000025000000}" name="Ankle push G"/>
    <tableColumn id="38" xr3:uid="{00000000-0010-0000-0000-000026000000}" name="Ankle push D"/>
    <tableColumn id="39" xr3:uid="{00000000-0010-0000-0000-000027000000}" name="CMJ 2JB"/>
    <tableColumn id="40" xr3:uid="{00000000-0010-0000-0000-000028000000}" name="Peak Force CMJ"/>
    <tableColumn id="41" xr3:uid="{00000000-0010-0000-0000-000029000000}" name="RFD CMJ"/>
    <tableColumn id="42" xr3:uid="{00000000-0010-0000-0000-00002A000000}" name="RSI"/>
    <tableColumn id="43" xr3:uid="{00000000-0010-0000-0000-00002B000000}" name="Squat belt (N)"/>
    <tableColumn id="44" xr3:uid="{00000000-0010-0000-0000-00002C000000}" name="SV1"/>
    <tableColumn id="45" xr3:uid="{00000000-0010-0000-0000-00002D000000}" name="SV2"/>
    <tableColumn id="46" xr3:uid="{00000000-0010-0000-0000-00002E000000}" name="FC"/>
    <tableColumn id="47" xr3:uid="{00000000-0010-0000-0000-00002F000000}" name="VMA"/>
    <tableColumn id="48" xr3:uid="{00000000-0010-0000-0000-000030000000}" name="Test 1km (s)"/>
    <tableColumn id="49" xr3:uid="{00000000-0010-0000-0000-000031000000}" name="Distance totale"/>
    <tableColumn id="50" xr3:uid="{00000000-0010-0000-0000-000032000000}" name="Distance HSR"/>
    <tableColumn id="51" xr3:uid="{00000000-0010-0000-0000-000033000000}" name="Distance Sprint (92% Vimax)"/>
    <tableColumn id="52" xr3:uid="{00000000-0010-0000-0000-000034000000}" name="Amax"/>
    <tableColumn id="53" xr3:uid="{00000000-0010-0000-0000-000035000000}" name="Dmax"/>
    <tableColumn id="54" xr3:uid="{00000000-0010-0000-0000-000036000000}" name="Vmax"/>
    <tableColumn id="55" xr3:uid="{00000000-0010-0000-0000-000037000000}" name="Temps sur 10m"/>
    <tableColumn id="56" xr3:uid="{00000000-0010-0000-0000-000038000000}" name="Q G conc 60°/s"/>
    <tableColumn id="57" xr3:uid="{00000000-0010-0000-0000-000039000000}" name="Q G conc 60°/s (N/kg)"/>
    <tableColumn id="58" xr3:uid="{00000000-0010-0000-0000-00003A000000}" name="Q Dt conc 60°/s"/>
    <tableColumn id="59" xr3:uid="{00000000-0010-0000-0000-00003B000000}" name="Q Dt conc 60°/s (N/kg)"/>
    <tableColumn id="60" xr3:uid="{00000000-0010-0000-0000-00003C000000}" name="Q G conc 240°/s"/>
    <tableColumn id="61" xr3:uid="{00000000-0010-0000-0000-00003D000000}" name="Q G conc 240°/s (N/kg)"/>
    <tableColumn id="62" xr3:uid="{00000000-0010-0000-0000-00003E000000}" name="Q Dt conc 240°/s"/>
    <tableColumn id="63" xr3:uid="{00000000-0010-0000-0000-00003F000000}" name="Q Dt conc 240°/s (N/kg)"/>
    <tableColumn id="64" xr3:uid="{00000000-0010-0000-0000-000040000000}" name="IJ G conc 60°/s"/>
    <tableColumn id="65" xr3:uid="{00000000-0010-0000-0000-000041000000}" name="IJ G conc 60°/s (N/kg)"/>
    <tableColumn id="66" xr3:uid="{00000000-0010-0000-0000-000042000000}" name="IJ Dt conc 60°/s"/>
    <tableColumn id="67" xr3:uid="{00000000-0010-0000-0000-000043000000}" name="IJ Dt conc 60°/s (N/kg)"/>
    <tableColumn id="68" xr3:uid="{00000000-0010-0000-0000-000044000000}" name="IJ G conc 240°/s"/>
    <tableColumn id="69" xr3:uid="{00000000-0010-0000-0000-000045000000}" name="IJ G conc 240°/s (N/kg)"/>
    <tableColumn id="70" xr3:uid="{00000000-0010-0000-0000-000046000000}" name="IJ Dt conc 240°/s"/>
    <tableColumn id="71" xr3:uid="{00000000-0010-0000-0000-000047000000}" name="IJ Dt conc 240°/s (N/kg)"/>
    <tableColumn id="72" xr3:uid="{00000000-0010-0000-0000-000048000000}" name="IJ G Exc 30°/s"/>
    <tableColumn id="73" xr3:uid="{00000000-0010-0000-0000-000049000000}" name="IJ G Exc 30°/s (N/kg)"/>
    <tableColumn id="74" xr3:uid="{00000000-0010-0000-0000-00004A000000}" name="IJ Dt exc 30°/s"/>
    <tableColumn id="75" xr3:uid="{00000000-0010-0000-0000-00004B000000}" name="IJ Dt exc 30°/s (N/kg)"/>
    <tableColumn id="76" xr3:uid="{00000000-0010-0000-0000-00004C000000}" name="Ratio Mixte G"/>
    <tableColumn id="77" xr3:uid="{00000000-0010-0000-0000-00004D000000}" name="Ratio Mixte D"/>
    <tableColumn id="78" xr3:uid="{00000000-0010-0000-0000-00004E000000}" name="Isak_triceps"/>
    <tableColumn id="79" xr3:uid="{00000000-0010-0000-0000-00004F000000}" name="Isak_sousscapulaire"/>
    <tableColumn id="80" xr3:uid="{00000000-0010-0000-0000-000050000000}" name="Isak_biceps"/>
    <tableColumn id="81" xr3:uid="{00000000-0010-0000-0000-000051000000}" name="Isak_crete"/>
    <tableColumn id="82" xr3:uid="{00000000-0010-0000-0000-000052000000}" name="Isak_supraspinale"/>
    <tableColumn id="83" xr3:uid="{00000000-0010-0000-0000-000053000000}" name="Isak_abdominal"/>
    <tableColumn id="84" xr3:uid="{00000000-0010-0000-0000-000054000000}" name="Isak_cuisse"/>
    <tableColumn id="85" xr3:uid="{00000000-0010-0000-0000-000055000000}" name="Isak_jambe"/>
    <tableColumn id="86" xr3:uid="{00000000-0010-0000-0000-000056000000}" name="Pied départ 1080"/>
    <tableColumn id="87" xr3:uid="{00000000-0010-0000-0000-000057000000}" name="Distance 1080 (m)"/>
    <tableColumn id="88" xr3:uid="{00000000-0010-0000-0000-000058000000}" name="Resistance 1080 (kg)"/>
    <tableColumn id="89" xr3:uid="{00000000-0010-0000-0000-000059000000}" name="Temps total 1080 (s)"/>
    <tableColumn id="90" xr3:uid="{00000000-0010-0000-0000-00005A000000}" name="Temps 0-5 1080 (s)"/>
    <tableColumn id="91" xr3:uid="{00000000-0010-0000-0000-00005B000000}" name="Amax 1080 (m/s²)"/>
    <tableColumn id="92" xr3:uid="{00000000-0010-0000-0000-00005C000000}" name="Pmax 1080 (W/Kg)"/>
    <tableColumn id="93" xr3:uid="{00000000-0010-0000-0000-00005D000000}" name="Pmax 1080 (W)"/>
    <tableColumn id="94" xr3:uid="{00000000-0010-0000-0000-00005E000000}" name="Vmax 1080 (m/s)"/>
    <tableColumn id="95" xr3:uid="{00000000-0010-0000-0000-00005F000000}" name="Vmax 1080 (Km/h)"/>
    <tableColumn id="96" xr3:uid="{00000000-0010-0000-0000-000060000000}" name="%Vmax 1080"/>
    <tableColumn id="97" xr3:uid="{00000000-0010-0000-0000-000061000000}" name="Tau 1080 (s)"/>
    <tableColumn id="98" xr3:uid="{00000000-0010-0000-0000-000062000000}" name="T90 1080 (s)"/>
    <tableColumn id="99" xr3:uid="{00000000-0010-0000-0000-000063000000}" name="D90 1080 (m)"/>
    <tableColumn id="100" xr3:uid="{00000000-0010-0000-0000-000064000000}" name="Momentum 1080 (Kg*m/s)"/>
    <tableColumn id="101" xr3:uid="{00000000-0010-0000-0000-000065000000}" name="F0 1080 (N/kg)"/>
    <tableColumn id="102" xr3:uid="{00000000-0010-0000-0000-000066000000}" name="F0 1080 (N)"/>
    <tableColumn id="103" xr3:uid="{00000000-0010-0000-0000-000067000000}" name="V0 1080 (m/s)"/>
    <tableColumn id="104" xr3:uid="{00000000-0010-0000-0000-000068000000}" name="V0 1080 (Km/h)"/>
    <tableColumn id="105" xr3:uid="{00000000-0010-0000-0000-000069000000}" name="Unloaded Speed 1080 (m/s)"/>
    <tableColumn id="106" xr3:uid="{00000000-0010-0000-0000-00006A000000}" name="Unloaded Speed 1080 (Km/h)"/>
    <tableColumn id="107" xr3:uid="{00000000-0010-0000-0000-00006B000000}" name="Symetrie 1080"/>
    <tableColumn id="108" xr3:uid="{00000000-0010-0000-0000-00006C000000}" name="TTPP 1080"/>
    <tableColumn id="109" xr3:uid="{00000000-0010-0000-0000-00006D000000}" name="Velocity Decrement 1080"/>
    <tableColumn id="110" xr3:uid="{00000000-0010-0000-0000-00006E000000}" name="Favg 1080"/>
    <tableColumn id="111" xr3:uid="{00000000-0010-0000-0000-00006F000000}" name="Fpeak 1080"/>
    <tableColumn id="112" xr3:uid="{00000000-0010-0000-0000-000070000000}" name="Max Decel 1080"/>
    <tableColumn id="113" xr3:uid="{00000000-0010-0000-0000-000071000000}" name="Amax transition 1080"/>
    <tableColumn id="114" xr3:uid="{00000000-0010-0000-0000-000072000000}" name="Decel Distance 1080"/>
    <tableColumn id="115" xr3:uid="{00000000-0010-0000-0000-000073000000}" name="Decel Time 1080"/>
    <tableColumn id="116" xr3:uid="{00000000-0010-0000-0000-000074000000}" name="Lopt 1080"/>
    <tableColumn id="117" xr3:uid="{00000000-0010-0000-0000-000075000000}" name="Charge Pmax 1080"/>
    <tableColumn id="118" xr3:uid="{00000000-0010-0000-0000-000076000000}" name="Charge 1"/>
    <tableColumn id="119" xr3:uid="{00000000-0010-0000-0000-000077000000}" name="Amax 1"/>
    <tableColumn id="120" xr3:uid="{00000000-0010-0000-0000-000078000000}" name="Vmax 1"/>
    <tableColumn id="121" xr3:uid="{00000000-0010-0000-0000-000079000000}" name="Charge 2"/>
    <tableColumn id="122" xr3:uid="{00000000-0010-0000-0000-00007A000000}" name="Amax 2"/>
    <tableColumn id="123" xr3:uid="{00000000-0010-0000-0000-00007B000000}" name="Vmax 2"/>
    <tableColumn id="124" xr3:uid="{00000000-0010-0000-0000-00007C000000}" name="Charge 3"/>
    <tableColumn id="125" xr3:uid="{00000000-0010-0000-0000-00007D000000}" name="Amax 3"/>
    <tableColumn id="126" xr3:uid="{00000000-0010-0000-0000-00007E000000}" name="Vmax 3"/>
    <tableColumn id="127" xr3:uid="{00000000-0010-0000-0000-00007F000000}" name="Charge 4"/>
    <tableColumn id="128" xr3:uid="{00000000-0010-0000-0000-000080000000}" name="Amax 4"/>
    <tableColumn id="129" xr3:uid="{00000000-0010-0000-0000-000081000000}" name="Vmax 4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012"/>
  <sheetViews>
    <sheetView tabSelected="1" workbookViewId="0">
      <pane xSplit="1" ySplit="1" topLeftCell="AT17" activePane="bottomRight" state="frozen"/>
      <selection pane="topRight" activeCell="B1" sqref="B1"/>
      <selection pane="bottomLeft" activeCell="A2" sqref="A2"/>
      <selection pane="bottomRight" activeCell="AX35" sqref="AX35"/>
    </sheetView>
  </sheetViews>
  <sheetFormatPr baseColWidth="10" defaultColWidth="12.6328125" defaultRowHeight="15" customHeight="1"/>
  <cols>
    <col min="1" max="1" width="26" customWidth="1"/>
    <col min="2" max="3" width="8.26953125" customWidth="1"/>
    <col min="4" max="4" width="10.36328125" customWidth="1"/>
    <col min="5" max="5" width="8.26953125" customWidth="1"/>
    <col min="6" max="6" width="16.453125" customWidth="1"/>
    <col min="7" max="7" width="8.26953125" customWidth="1"/>
    <col min="8" max="8" width="8.36328125" customWidth="1"/>
    <col min="9" max="9" width="14.26953125" customWidth="1"/>
    <col min="10" max="10" width="10.6328125" customWidth="1"/>
    <col min="11" max="11" width="13.90625" customWidth="1"/>
    <col min="12" max="13" width="10.6328125" customWidth="1"/>
    <col min="14" max="14" width="15.453125" customWidth="1"/>
    <col min="15" max="16" width="10.6328125" customWidth="1"/>
    <col min="17" max="18" width="11.90625" customWidth="1"/>
    <col min="19" max="20" width="11.453125" customWidth="1"/>
    <col min="21" max="25" width="12.90625" customWidth="1"/>
    <col min="26" max="26" width="12.7265625" customWidth="1"/>
    <col min="27" max="27" width="23.453125" customWidth="1"/>
    <col min="28" max="29" width="22" customWidth="1"/>
    <col min="30" max="31" width="14" customWidth="1"/>
    <col min="32" max="32" width="13.26953125" customWidth="1"/>
    <col min="33" max="33" width="12" customWidth="1"/>
    <col min="34" max="34" width="14.453125" customWidth="1"/>
    <col min="35" max="35" width="12" customWidth="1"/>
    <col min="36" max="36" width="14.453125" customWidth="1"/>
    <col min="37" max="38" width="20" customWidth="1"/>
    <col min="39" max="39" width="10.6328125" customWidth="1"/>
    <col min="40" max="40" width="16.7265625" customWidth="1"/>
    <col min="41" max="41" width="11.36328125" customWidth="1"/>
    <col min="42" max="42" width="11.08984375" customWidth="1"/>
    <col min="43" max="43" width="13.90625" customWidth="1"/>
    <col min="44" max="47" width="10.6328125" customWidth="1"/>
    <col min="48" max="49" width="15.08984375" customWidth="1"/>
    <col min="50" max="50" width="13.90625" customWidth="1"/>
    <col min="51" max="51" width="25.453125" customWidth="1"/>
    <col min="52" max="52" width="10.6328125" customWidth="1"/>
    <col min="53" max="53" width="32.54296875" bestFit="1" customWidth="1"/>
    <col min="54" max="54" width="10.6328125" customWidth="1"/>
    <col min="55" max="55" width="15" customWidth="1"/>
    <col min="56" max="56" width="14.90625" customWidth="1"/>
    <col min="57" max="57" width="20.08984375" customWidth="1"/>
    <col min="58" max="58" width="15.453125" customWidth="1"/>
    <col min="59" max="59" width="20.90625" customWidth="1"/>
    <col min="60" max="60" width="15.90625" customWidth="1"/>
    <col min="61" max="61" width="21.08984375" customWidth="1"/>
    <col min="62" max="62" width="16.453125" customWidth="1"/>
    <col min="63" max="63" width="21.90625" customWidth="1"/>
    <col min="64" max="64" width="14.453125" customWidth="1"/>
    <col min="65" max="65" width="19.90625" customWidth="1"/>
    <col min="66" max="66" width="15.08984375" customWidth="1"/>
    <col min="67" max="67" width="20.453125" customWidth="1"/>
    <col min="68" max="68" width="15.453125" customWidth="1"/>
    <col min="69" max="69" width="20.90625" customWidth="1"/>
    <col min="70" max="70" width="16.08984375" customWidth="1"/>
    <col min="71" max="71" width="21.453125" customWidth="1"/>
    <col min="72" max="72" width="13.453125" customWidth="1"/>
    <col min="73" max="73" width="18.7265625" customWidth="1"/>
    <col min="74" max="74" width="14" customWidth="1"/>
    <col min="75" max="75" width="19.453125" customWidth="1"/>
    <col min="76" max="78" width="13.453125" customWidth="1"/>
    <col min="79" max="79" width="17.36328125" customWidth="1"/>
    <col min="80" max="80" width="13.453125" customWidth="1"/>
    <col min="81" max="81" width="16.08984375" customWidth="1"/>
    <col min="82" max="82" width="16.453125" customWidth="1"/>
    <col min="83" max="129" width="13.453125" customWidth="1"/>
  </cols>
  <sheetData>
    <row r="1" spans="1:129" ht="14.25" customHeight="1" thickBot="1">
      <c r="A1" s="2" t="s">
        <v>0</v>
      </c>
      <c r="B1" s="3" t="s">
        <v>15</v>
      </c>
      <c r="C1" s="3" t="s">
        <v>16</v>
      </c>
      <c r="D1" s="3" t="s">
        <v>2</v>
      </c>
      <c r="E1" s="3" t="s">
        <v>17</v>
      </c>
      <c r="F1" s="3" t="s">
        <v>18</v>
      </c>
      <c r="G1" s="2" t="s">
        <v>19</v>
      </c>
      <c r="H1" s="2" t="s">
        <v>20</v>
      </c>
      <c r="I1" s="3" t="s">
        <v>21</v>
      </c>
      <c r="J1" s="3" t="s">
        <v>22</v>
      </c>
      <c r="K1" s="2" t="s">
        <v>23</v>
      </c>
      <c r="L1" s="3" t="s">
        <v>24</v>
      </c>
      <c r="M1" s="3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3" t="s">
        <v>38</v>
      </c>
      <c r="AA1" s="4" t="s">
        <v>39</v>
      </c>
      <c r="AB1" s="2" t="s">
        <v>40</v>
      </c>
      <c r="AC1" s="2" t="s">
        <v>41</v>
      </c>
      <c r="AD1" s="3" t="s">
        <v>42</v>
      </c>
      <c r="AE1" s="3" t="s">
        <v>43</v>
      </c>
      <c r="AF1" s="2" t="s">
        <v>44</v>
      </c>
      <c r="AG1" s="2" t="s">
        <v>45</v>
      </c>
      <c r="AH1" s="2" t="s">
        <v>46</v>
      </c>
      <c r="AI1" s="2" t="s">
        <v>47</v>
      </c>
      <c r="AJ1" s="2" t="s">
        <v>48</v>
      </c>
      <c r="AK1" s="2" t="s">
        <v>49</v>
      </c>
      <c r="AL1" s="2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2" t="s">
        <v>56</v>
      </c>
      <c r="AS1" s="2" t="s">
        <v>57</v>
      </c>
      <c r="AT1" s="2" t="s">
        <v>58</v>
      </c>
      <c r="AU1" s="2" t="s">
        <v>59</v>
      </c>
      <c r="AV1" s="5" t="s">
        <v>60</v>
      </c>
      <c r="AW1" s="4" t="s">
        <v>61</v>
      </c>
      <c r="AX1" s="4" t="s">
        <v>62</v>
      </c>
      <c r="AY1" s="4" t="s">
        <v>63</v>
      </c>
      <c r="AZ1" s="4" t="s">
        <v>64</v>
      </c>
      <c r="BA1" s="4" t="s">
        <v>65</v>
      </c>
      <c r="BB1" s="4" t="s">
        <v>66</v>
      </c>
      <c r="BC1" s="4" t="s">
        <v>67</v>
      </c>
      <c r="BD1" s="4" t="s">
        <v>68</v>
      </c>
      <c r="BE1" s="4" t="s">
        <v>69</v>
      </c>
      <c r="BF1" s="4" t="s">
        <v>70</v>
      </c>
      <c r="BG1" s="4" t="s">
        <v>71</v>
      </c>
      <c r="BH1" s="4" t="s">
        <v>72</v>
      </c>
      <c r="BI1" s="4" t="s">
        <v>73</v>
      </c>
      <c r="BJ1" s="4" t="s">
        <v>74</v>
      </c>
      <c r="BK1" s="4" t="s">
        <v>75</v>
      </c>
      <c r="BL1" s="4" t="s">
        <v>76</v>
      </c>
      <c r="BM1" s="4" t="s">
        <v>77</v>
      </c>
      <c r="BN1" s="4" t="s">
        <v>78</v>
      </c>
      <c r="BO1" s="4" t="s">
        <v>79</v>
      </c>
      <c r="BP1" s="4" t="s">
        <v>80</v>
      </c>
      <c r="BQ1" s="4" t="s">
        <v>81</v>
      </c>
      <c r="BR1" s="4" t="s">
        <v>82</v>
      </c>
      <c r="BS1" s="4" t="s">
        <v>83</v>
      </c>
      <c r="BT1" s="4" t="s">
        <v>84</v>
      </c>
      <c r="BU1" s="4" t="s">
        <v>85</v>
      </c>
      <c r="BV1" s="4" t="s">
        <v>86</v>
      </c>
      <c r="BW1" s="4" t="s">
        <v>87</v>
      </c>
      <c r="BX1" s="4" t="s">
        <v>88</v>
      </c>
      <c r="BY1" s="5" t="s">
        <v>89</v>
      </c>
      <c r="BZ1" s="6" t="s">
        <v>90</v>
      </c>
      <c r="CA1" s="6" t="s">
        <v>91</v>
      </c>
      <c r="CB1" s="6" t="s">
        <v>92</v>
      </c>
      <c r="CC1" s="6" t="s">
        <v>93</v>
      </c>
      <c r="CD1" s="6" t="s">
        <v>94</v>
      </c>
      <c r="CE1" s="6" t="s">
        <v>95</v>
      </c>
      <c r="CF1" s="6" t="s">
        <v>96</v>
      </c>
      <c r="CG1" s="6" t="s">
        <v>97</v>
      </c>
      <c r="CH1" s="7" t="s">
        <v>98</v>
      </c>
      <c r="CI1" s="7" t="s">
        <v>99</v>
      </c>
      <c r="CJ1" s="7" t="s">
        <v>100</v>
      </c>
      <c r="CK1" s="7" t="s">
        <v>101</v>
      </c>
      <c r="CL1" s="7" t="s">
        <v>102</v>
      </c>
      <c r="CM1" s="8" t="s">
        <v>103</v>
      </c>
      <c r="CN1" s="7" t="s">
        <v>104</v>
      </c>
      <c r="CO1" s="7" t="s">
        <v>105</v>
      </c>
      <c r="CP1" s="7" t="s">
        <v>106</v>
      </c>
      <c r="CQ1" s="7" t="s">
        <v>107</v>
      </c>
      <c r="CR1" s="7" t="s">
        <v>108</v>
      </c>
      <c r="CS1" s="7" t="s">
        <v>109</v>
      </c>
      <c r="CT1" s="7" t="s">
        <v>110</v>
      </c>
      <c r="CU1" s="7" t="s">
        <v>111</v>
      </c>
      <c r="CV1" s="7" t="s">
        <v>112</v>
      </c>
      <c r="CW1" s="7" t="s">
        <v>113</v>
      </c>
      <c r="CX1" s="7" t="s">
        <v>114</v>
      </c>
      <c r="CY1" s="7" t="s">
        <v>115</v>
      </c>
      <c r="CZ1" s="7" t="s">
        <v>116</v>
      </c>
      <c r="DA1" s="7" t="s">
        <v>117</v>
      </c>
      <c r="DB1" s="7" t="s">
        <v>118</v>
      </c>
      <c r="DC1" s="7" t="s">
        <v>119</v>
      </c>
      <c r="DD1" s="7" t="s">
        <v>120</v>
      </c>
      <c r="DE1" s="7" t="s">
        <v>121</v>
      </c>
      <c r="DF1" s="7" t="s">
        <v>122</v>
      </c>
      <c r="DG1" s="7" t="s">
        <v>123</v>
      </c>
      <c r="DH1" s="7" t="s">
        <v>124</v>
      </c>
      <c r="DI1" s="7" t="s">
        <v>125</v>
      </c>
      <c r="DJ1" s="7" t="s">
        <v>126</v>
      </c>
      <c r="DK1" s="7" t="s">
        <v>127</v>
      </c>
      <c r="DL1" s="7" t="s">
        <v>128</v>
      </c>
      <c r="DM1" s="7" t="s">
        <v>129</v>
      </c>
      <c r="DN1" s="7" t="s">
        <v>130</v>
      </c>
      <c r="DO1" s="7" t="s">
        <v>131</v>
      </c>
      <c r="DP1" s="7" t="s">
        <v>132</v>
      </c>
      <c r="DQ1" s="7" t="s">
        <v>133</v>
      </c>
      <c r="DR1" s="7" t="s">
        <v>134</v>
      </c>
      <c r="DS1" s="7" t="s">
        <v>135</v>
      </c>
      <c r="DT1" s="7" t="s">
        <v>136</v>
      </c>
      <c r="DU1" s="7" t="s">
        <v>137</v>
      </c>
      <c r="DV1" s="7" t="s">
        <v>138</v>
      </c>
      <c r="DW1" s="7" t="s">
        <v>139</v>
      </c>
      <c r="DX1" s="7" t="s">
        <v>140</v>
      </c>
      <c r="DY1" s="7" t="s">
        <v>141</v>
      </c>
    </row>
    <row r="2" spans="1:129" ht="14.25" customHeight="1" thickBot="1">
      <c r="A2" s="9" t="s">
        <v>142</v>
      </c>
      <c r="B2" s="10">
        <v>18</v>
      </c>
      <c r="C2" s="10" t="s">
        <v>143</v>
      </c>
      <c r="D2" s="10" t="s">
        <v>144</v>
      </c>
      <c r="E2" s="10" t="s">
        <v>145</v>
      </c>
      <c r="F2" s="11">
        <v>35780</v>
      </c>
      <c r="G2" s="12" t="s">
        <v>146</v>
      </c>
      <c r="H2" s="9">
        <v>28</v>
      </c>
      <c r="I2" s="3">
        <v>75.599999999999994</v>
      </c>
      <c r="J2" s="3">
        <v>173.2</v>
      </c>
      <c r="K2" s="3">
        <f t="shared" ref="K2:K70" si="0">SUM(BZ2:CG2)</f>
        <v>33</v>
      </c>
      <c r="L2" s="13">
        <v>46209</v>
      </c>
      <c r="M2" s="3" t="s">
        <v>147</v>
      </c>
      <c r="N2" s="3">
        <v>1248</v>
      </c>
      <c r="O2" s="3">
        <v>32.6</v>
      </c>
      <c r="P2" s="3">
        <v>31.8</v>
      </c>
      <c r="Q2" s="3">
        <v>13.9</v>
      </c>
      <c r="R2" s="3">
        <v>11.9</v>
      </c>
      <c r="S2" s="3">
        <v>10.6</v>
      </c>
      <c r="T2" s="3">
        <v>12.4</v>
      </c>
      <c r="U2" s="3">
        <v>19.8</v>
      </c>
      <c r="V2" s="3">
        <v>19</v>
      </c>
      <c r="W2" s="3">
        <v>22.5</v>
      </c>
      <c r="X2" s="3">
        <v>20.6</v>
      </c>
      <c r="Y2" s="2">
        <f t="shared" ref="Y2:Y124" si="1">U2+V2</f>
        <v>38.799999999999997</v>
      </c>
      <c r="Z2" s="2">
        <f t="shared" ref="Z2:Z124" si="2">W2+X2</f>
        <v>43.1</v>
      </c>
      <c r="AA2" s="2">
        <f t="shared" ref="AA2:AA135" si="3">Y2/Z2</f>
        <v>0.90023201856148483</v>
      </c>
      <c r="AB2" s="3">
        <v>14</v>
      </c>
      <c r="AC2" s="3">
        <v>17</v>
      </c>
      <c r="AD2" s="3">
        <v>9</v>
      </c>
      <c r="AE2" s="3">
        <v>8</v>
      </c>
      <c r="AF2" s="3">
        <v>29</v>
      </c>
      <c r="AG2" s="2"/>
      <c r="AH2" s="2">
        <f t="shared" ref="AH2:AH11" si="4">AG2/I2</f>
        <v>0</v>
      </c>
      <c r="AI2" s="2"/>
      <c r="AJ2" s="2">
        <f t="shared" ref="AJ2:AJ11" si="5">AI2/I2</f>
        <v>0</v>
      </c>
      <c r="AK2" s="2"/>
      <c r="AL2" s="2"/>
      <c r="AM2" s="3">
        <v>36.9</v>
      </c>
      <c r="AN2" s="3">
        <v>2167</v>
      </c>
      <c r="AO2" s="3">
        <v>18037</v>
      </c>
      <c r="AP2" s="3">
        <v>2.1800000000000002</v>
      </c>
      <c r="AQ2" s="3">
        <v>9132</v>
      </c>
      <c r="AR2" s="3">
        <v>13.8</v>
      </c>
      <c r="AS2" s="3">
        <v>16.5</v>
      </c>
      <c r="AT2" s="2"/>
      <c r="AU2" s="3">
        <v>16.5</v>
      </c>
      <c r="AV2" s="3">
        <v>208</v>
      </c>
      <c r="AW2" s="44">
        <v>10937</v>
      </c>
      <c r="AX2" s="44">
        <v>1241</v>
      </c>
      <c r="AY2" s="44">
        <v>64.7</v>
      </c>
      <c r="AZ2" s="3">
        <v>7.1</v>
      </c>
      <c r="BA2" s="42">
        <v>9.0039362430000001</v>
      </c>
      <c r="BB2" s="3">
        <v>34.200000000000003</v>
      </c>
      <c r="BC2" s="2"/>
      <c r="BD2" s="3">
        <v>211</v>
      </c>
      <c r="BE2" s="2">
        <f>BD2/$I$2</f>
        <v>2.7910052910052912</v>
      </c>
      <c r="BF2" s="3">
        <v>228</v>
      </c>
      <c r="BG2" s="2">
        <f t="shared" ref="BG2:BG17" si="6">BF2/I2</f>
        <v>3.0158730158730163</v>
      </c>
      <c r="BH2" s="3">
        <v>183</v>
      </c>
      <c r="BI2" s="2">
        <f t="shared" ref="BI2:BI17" si="7">BH2/I2</f>
        <v>2.4206349206349209</v>
      </c>
      <c r="BJ2" s="3">
        <v>156</v>
      </c>
      <c r="BK2" s="2">
        <f t="shared" ref="BK2:BK17" si="8">BJ2/I2</f>
        <v>2.0634920634920637</v>
      </c>
      <c r="BL2" s="3">
        <v>136</v>
      </c>
      <c r="BM2" s="2">
        <f t="shared" ref="BM2:BM17" si="9">BL2/I2</f>
        <v>1.7989417989417991</v>
      </c>
      <c r="BN2" s="3">
        <v>136</v>
      </c>
      <c r="BO2" s="2">
        <f t="shared" ref="BO2:BO17" si="10">BN2/I2</f>
        <v>1.7989417989417991</v>
      </c>
      <c r="BP2" s="3">
        <v>134</v>
      </c>
      <c r="BQ2" s="2">
        <f t="shared" ref="BQ2:BQ17" si="11">BP2/I2</f>
        <v>1.7724867724867726</v>
      </c>
      <c r="BR2" s="3">
        <v>117</v>
      </c>
      <c r="BS2" s="2">
        <f t="shared" ref="BS2:BS17" si="12">BR2/I2</f>
        <v>1.5476190476190477</v>
      </c>
      <c r="BT2" s="3">
        <v>134</v>
      </c>
      <c r="BU2" s="2">
        <f t="shared" ref="BU2:BU17" si="13">BT2/I2</f>
        <v>1.7724867724867726</v>
      </c>
      <c r="BV2" s="3">
        <v>152</v>
      </c>
      <c r="BW2" s="2">
        <f t="shared" ref="BW2:BW117" si="14">BV2/I2</f>
        <v>2.0105820105820107</v>
      </c>
      <c r="BX2" s="2">
        <f t="shared" ref="BX2:BX117" si="15">BT2/BH2</f>
        <v>0.73224043715846998</v>
      </c>
      <c r="BY2" s="2">
        <f t="shared" ref="BY2:BY117" si="16">BV2/BJ2</f>
        <v>0.97435897435897434</v>
      </c>
      <c r="BZ2" s="2">
        <v>5</v>
      </c>
      <c r="CA2" s="2">
        <v>7</v>
      </c>
      <c r="CB2" s="2">
        <v>2</v>
      </c>
      <c r="CC2" s="2">
        <v>3.5</v>
      </c>
      <c r="CD2" s="2">
        <v>3</v>
      </c>
      <c r="CE2" s="2">
        <v>4.5</v>
      </c>
      <c r="CF2" s="2">
        <v>4.5</v>
      </c>
      <c r="CG2" s="2">
        <v>3.5</v>
      </c>
      <c r="CH2" s="2" t="s">
        <v>148</v>
      </c>
      <c r="CI2" s="2">
        <v>15</v>
      </c>
      <c r="CJ2" s="2">
        <v>2</v>
      </c>
      <c r="CK2" s="14">
        <v>2.66</v>
      </c>
      <c r="CL2" s="14">
        <v>1.27</v>
      </c>
      <c r="CM2" s="14">
        <v>7.26</v>
      </c>
      <c r="CN2" s="14">
        <v>19.36</v>
      </c>
      <c r="CO2" s="14">
        <v>1463.616</v>
      </c>
      <c r="CP2" s="14">
        <v>7.7</v>
      </c>
      <c r="CQ2" s="14">
        <v>27.72</v>
      </c>
      <c r="CR2" s="15">
        <f t="shared" ref="CR2:CR8" si="17">((CQ2*100)/BB2)/100</f>
        <v>0.81052631578947354</v>
      </c>
      <c r="CS2" s="2">
        <v>1.05</v>
      </c>
      <c r="CT2" s="2">
        <v>2.35</v>
      </c>
      <c r="CU2" s="2">
        <v>12.18</v>
      </c>
      <c r="CV2" s="2">
        <v>632</v>
      </c>
      <c r="CW2" s="2">
        <v>8.58</v>
      </c>
      <c r="CX2" s="2">
        <v>648.64800000000002</v>
      </c>
      <c r="CY2" s="2">
        <v>9.0299999999999994</v>
      </c>
      <c r="CZ2" s="2">
        <v>32.508000000000003</v>
      </c>
      <c r="DA2" s="2">
        <v>8.73</v>
      </c>
      <c r="DB2" s="2">
        <v>31.428000000000001</v>
      </c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</row>
    <row r="3" spans="1:129" ht="14.25" customHeight="1" thickBot="1">
      <c r="A3" s="16" t="s">
        <v>149</v>
      </c>
      <c r="B3" s="16">
        <v>27</v>
      </c>
      <c r="C3" s="16" t="s">
        <v>148</v>
      </c>
      <c r="D3" s="16" t="s">
        <v>150</v>
      </c>
      <c r="E3" s="16" t="s">
        <v>151</v>
      </c>
      <c r="F3" s="17">
        <v>38135</v>
      </c>
      <c r="G3" s="18" t="s">
        <v>146</v>
      </c>
      <c r="H3" s="19">
        <v>22</v>
      </c>
      <c r="I3" s="3">
        <v>70.8</v>
      </c>
      <c r="J3" s="3">
        <v>186</v>
      </c>
      <c r="K3" s="3">
        <f t="shared" si="0"/>
        <v>0</v>
      </c>
      <c r="L3" s="13">
        <v>46209</v>
      </c>
      <c r="M3" s="3" t="s">
        <v>147</v>
      </c>
      <c r="N3" s="3">
        <v>1105</v>
      </c>
      <c r="O3" s="3">
        <v>39</v>
      </c>
      <c r="P3" s="3">
        <v>38</v>
      </c>
      <c r="Q3" s="3">
        <v>11.8</v>
      </c>
      <c r="R3" s="3">
        <v>11.9</v>
      </c>
      <c r="S3" s="3">
        <v>13.7</v>
      </c>
      <c r="T3" s="3">
        <v>15.2</v>
      </c>
      <c r="U3" s="3">
        <v>24</v>
      </c>
      <c r="V3" s="3">
        <v>21.9</v>
      </c>
      <c r="W3" s="3">
        <v>20.8</v>
      </c>
      <c r="X3" s="3">
        <v>22.1</v>
      </c>
      <c r="Y3" s="2">
        <f t="shared" si="1"/>
        <v>45.9</v>
      </c>
      <c r="Z3" s="2">
        <f t="shared" si="2"/>
        <v>42.900000000000006</v>
      </c>
      <c r="AA3" s="2">
        <f t="shared" si="3"/>
        <v>1.0699300699300698</v>
      </c>
      <c r="AB3" s="3">
        <v>19</v>
      </c>
      <c r="AC3" s="3">
        <v>20</v>
      </c>
      <c r="AD3" s="3">
        <v>7.5</v>
      </c>
      <c r="AE3" s="3">
        <v>7.5</v>
      </c>
      <c r="AF3" s="3">
        <v>37</v>
      </c>
      <c r="AG3" s="2"/>
      <c r="AH3" s="2">
        <f t="shared" si="4"/>
        <v>0</v>
      </c>
      <c r="AI3" s="2"/>
      <c r="AJ3" s="2">
        <f t="shared" si="5"/>
        <v>0</v>
      </c>
      <c r="AK3" s="2"/>
      <c r="AL3" s="2"/>
      <c r="AM3" s="3">
        <v>38</v>
      </c>
      <c r="AN3" s="3">
        <v>1836</v>
      </c>
      <c r="AO3" s="3">
        <v>9902</v>
      </c>
      <c r="AP3" s="3">
        <v>2.09</v>
      </c>
      <c r="AQ3" s="2"/>
      <c r="AR3" s="20">
        <v>13</v>
      </c>
      <c r="AS3" s="20">
        <v>16.399999999999999</v>
      </c>
      <c r="AT3" s="2"/>
      <c r="AU3" s="2"/>
      <c r="AV3" s="2"/>
      <c r="AW3" s="45">
        <v>10754</v>
      </c>
      <c r="AX3" s="45">
        <v>1193</v>
      </c>
      <c r="AY3" s="45">
        <v>34.5</v>
      </c>
      <c r="AZ3" s="2"/>
      <c r="BA3" s="43"/>
      <c r="BB3" s="2">
        <v>35.28</v>
      </c>
      <c r="BC3" s="2"/>
      <c r="BD3" s="3">
        <v>265</v>
      </c>
      <c r="BE3" s="2">
        <f t="shared" ref="BE3:BE17" si="18">BD3/I3</f>
        <v>3.7429378531073447</v>
      </c>
      <c r="BF3" s="3">
        <v>281</v>
      </c>
      <c r="BG3" s="2">
        <f t="shared" si="6"/>
        <v>3.9689265536723166</v>
      </c>
      <c r="BH3" s="3">
        <v>170</v>
      </c>
      <c r="BI3" s="2">
        <f t="shared" si="7"/>
        <v>2.4011299435028248</v>
      </c>
      <c r="BJ3" s="3">
        <v>171</v>
      </c>
      <c r="BK3" s="2">
        <f t="shared" si="8"/>
        <v>2.4152542372881358</v>
      </c>
      <c r="BL3" s="3">
        <v>145</v>
      </c>
      <c r="BM3" s="2">
        <f t="shared" si="9"/>
        <v>2.0480225988700567</v>
      </c>
      <c r="BN3" s="3">
        <v>155</v>
      </c>
      <c r="BO3" s="2">
        <f t="shared" si="10"/>
        <v>2.1892655367231639</v>
      </c>
      <c r="BP3" s="3">
        <v>123</v>
      </c>
      <c r="BQ3" s="2">
        <f t="shared" si="11"/>
        <v>1.7372881355932204</v>
      </c>
      <c r="BR3" s="3">
        <v>111</v>
      </c>
      <c r="BS3" s="2">
        <f t="shared" si="12"/>
        <v>1.5677966101694916</v>
      </c>
      <c r="BT3" s="3">
        <v>182</v>
      </c>
      <c r="BU3" s="2">
        <f t="shared" si="13"/>
        <v>2.5706214689265536</v>
      </c>
      <c r="BV3" s="3">
        <v>194</v>
      </c>
      <c r="BW3" s="2">
        <f t="shared" si="14"/>
        <v>2.7401129943502824</v>
      </c>
      <c r="BX3" s="2">
        <f t="shared" si="15"/>
        <v>1.0705882352941176</v>
      </c>
      <c r="BY3" s="2">
        <f t="shared" si="16"/>
        <v>1.1345029239766082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14"/>
      <c r="CL3" s="14"/>
      <c r="CM3" s="14"/>
      <c r="CN3" s="14"/>
      <c r="CO3" s="14"/>
      <c r="CP3" s="14"/>
      <c r="CQ3" s="14"/>
      <c r="CR3" s="15">
        <f t="shared" si="17"/>
        <v>0</v>
      </c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</row>
    <row r="4" spans="1:129" ht="14.25" customHeight="1" thickBot="1">
      <c r="A4" s="10" t="s">
        <v>152</v>
      </c>
      <c r="B4" s="10">
        <v>9</v>
      </c>
      <c r="C4" s="10" t="s">
        <v>148</v>
      </c>
      <c r="D4" s="10" t="s">
        <v>150</v>
      </c>
      <c r="E4" s="10" t="s">
        <v>153</v>
      </c>
      <c r="F4" s="21">
        <v>37263</v>
      </c>
      <c r="G4" s="12" t="s">
        <v>146</v>
      </c>
      <c r="H4" s="9">
        <v>24</v>
      </c>
      <c r="I4" s="3">
        <v>80.7</v>
      </c>
      <c r="J4" s="3">
        <v>179.5</v>
      </c>
      <c r="K4" s="3">
        <f t="shared" si="0"/>
        <v>60</v>
      </c>
      <c r="L4" s="13">
        <v>46199</v>
      </c>
      <c r="M4" s="3" t="s">
        <v>147</v>
      </c>
      <c r="N4" s="3">
        <v>1318</v>
      </c>
      <c r="O4" s="3">
        <v>36.9</v>
      </c>
      <c r="P4" s="3">
        <v>48.3</v>
      </c>
      <c r="Q4" s="3">
        <v>9.9</v>
      </c>
      <c r="R4" s="3">
        <v>10.8</v>
      </c>
      <c r="S4" s="3">
        <v>10.6</v>
      </c>
      <c r="T4" s="3">
        <v>12.8</v>
      </c>
      <c r="U4" s="3">
        <v>22.9</v>
      </c>
      <c r="V4" s="3">
        <v>24.8</v>
      </c>
      <c r="W4" s="3">
        <v>18.600000000000001</v>
      </c>
      <c r="X4" s="3">
        <v>21.1</v>
      </c>
      <c r="Y4" s="2">
        <f t="shared" si="1"/>
        <v>47.7</v>
      </c>
      <c r="Z4" s="2">
        <f t="shared" si="2"/>
        <v>39.700000000000003</v>
      </c>
      <c r="AA4" s="2">
        <f t="shared" si="3"/>
        <v>1.2015113350125946</v>
      </c>
      <c r="AB4" s="3">
        <v>15</v>
      </c>
      <c r="AC4" s="3">
        <v>15</v>
      </c>
      <c r="AD4" s="3">
        <v>9.5</v>
      </c>
      <c r="AE4" s="3">
        <v>7.5</v>
      </c>
      <c r="AF4" s="3">
        <v>21</v>
      </c>
      <c r="AG4" s="2"/>
      <c r="AH4" s="2">
        <f t="shared" si="4"/>
        <v>0</v>
      </c>
      <c r="AI4" s="2"/>
      <c r="AJ4" s="2">
        <f t="shared" si="5"/>
        <v>0</v>
      </c>
      <c r="AK4" s="2"/>
      <c r="AL4" s="2"/>
      <c r="AM4" s="3">
        <v>36.9</v>
      </c>
      <c r="AN4" s="3">
        <v>1951</v>
      </c>
      <c r="AO4" s="3">
        <v>10168</v>
      </c>
      <c r="AP4" s="3">
        <v>1.97</v>
      </c>
      <c r="AQ4" s="3">
        <v>4015</v>
      </c>
      <c r="AR4" s="3">
        <v>12.3</v>
      </c>
      <c r="AS4" s="3">
        <v>14.8</v>
      </c>
      <c r="AT4" s="2"/>
      <c r="AU4" s="2"/>
      <c r="AV4" s="3"/>
      <c r="AW4" s="44">
        <v>9275</v>
      </c>
      <c r="AX4" s="44">
        <v>901</v>
      </c>
      <c r="AY4" s="44">
        <v>15.8</v>
      </c>
      <c r="AZ4" s="3">
        <v>6.7</v>
      </c>
      <c r="BA4" s="42">
        <v>8.238257377</v>
      </c>
      <c r="BB4" s="3">
        <v>35.64</v>
      </c>
      <c r="BC4" s="2"/>
      <c r="BD4" s="3">
        <v>205</v>
      </c>
      <c r="BE4" s="2">
        <f t="shared" si="18"/>
        <v>2.5402726146220571</v>
      </c>
      <c r="BF4" s="3">
        <v>196</v>
      </c>
      <c r="BG4" s="2">
        <f t="shared" si="6"/>
        <v>2.4287484510532837</v>
      </c>
      <c r="BH4" s="3">
        <v>182</v>
      </c>
      <c r="BI4" s="2">
        <f t="shared" si="7"/>
        <v>2.2552664188351921</v>
      </c>
      <c r="BJ4" s="3">
        <v>167</v>
      </c>
      <c r="BK4" s="2">
        <f t="shared" si="8"/>
        <v>2.0693928128872368</v>
      </c>
      <c r="BL4" s="3">
        <v>141</v>
      </c>
      <c r="BM4" s="2">
        <f t="shared" si="9"/>
        <v>1.7472118959107805</v>
      </c>
      <c r="BN4" s="3">
        <v>130</v>
      </c>
      <c r="BO4" s="2">
        <f t="shared" si="10"/>
        <v>1.6109045848822801</v>
      </c>
      <c r="BP4" s="3">
        <v>101</v>
      </c>
      <c r="BQ4" s="2">
        <f t="shared" si="11"/>
        <v>1.2515489467162328</v>
      </c>
      <c r="BR4" s="3">
        <v>113</v>
      </c>
      <c r="BS4" s="2">
        <f t="shared" si="12"/>
        <v>1.4002478314745972</v>
      </c>
      <c r="BT4" s="3">
        <v>151</v>
      </c>
      <c r="BU4" s="2">
        <f t="shared" si="13"/>
        <v>1.8711276332094176</v>
      </c>
      <c r="BV4" s="3">
        <v>172</v>
      </c>
      <c r="BW4" s="2">
        <f t="shared" si="14"/>
        <v>2.131350681536555</v>
      </c>
      <c r="BX4" s="2">
        <f t="shared" si="15"/>
        <v>0.82967032967032972</v>
      </c>
      <c r="BY4" s="2">
        <f t="shared" si="16"/>
        <v>1.0299401197604789</v>
      </c>
      <c r="BZ4" s="2">
        <v>7</v>
      </c>
      <c r="CA4" s="2">
        <v>8.5</v>
      </c>
      <c r="CB4" s="2">
        <v>2</v>
      </c>
      <c r="CC4" s="2">
        <v>14</v>
      </c>
      <c r="CD4" s="2">
        <v>6</v>
      </c>
      <c r="CE4" s="2">
        <v>9</v>
      </c>
      <c r="CF4" s="2">
        <v>9.5</v>
      </c>
      <c r="CG4" s="2">
        <v>4</v>
      </c>
      <c r="CH4" s="8" t="s">
        <v>143</v>
      </c>
      <c r="CI4" s="8">
        <v>15</v>
      </c>
      <c r="CJ4" s="8">
        <v>2</v>
      </c>
      <c r="CK4" s="22">
        <v>2.67</v>
      </c>
      <c r="CL4" s="22">
        <v>1.22</v>
      </c>
      <c r="CM4" s="22">
        <v>7.93</v>
      </c>
      <c r="CN4" s="22">
        <v>18.489999999999998</v>
      </c>
      <c r="CO4" s="22">
        <v>1497.69</v>
      </c>
      <c r="CP4" s="22">
        <v>7.48</v>
      </c>
      <c r="CQ4" s="22">
        <v>26.928000000000001</v>
      </c>
      <c r="CR4" s="15">
        <f t="shared" si="17"/>
        <v>0.75555555555555554</v>
      </c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</row>
    <row r="5" spans="1:129" ht="14.25" customHeight="1" thickBot="1">
      <c r="A5" s="19" t="s">
        <v>154</v>
      </c>
      <c r="B5" s="16">
        <v>26</v>
      </c>
      <c r="C5" s="16" t="s">
        <v>143</v>
      </c>
      <c r="D5" s="16" t="s">
        <v>144</v>
      </c>
      <c r="E5" s="16" t="s">
        <v>145</v>
      </c>
      <c r="F5" s="17">
        <v>39213</v>
      </c>
      <c r="G5" s="18" t="s">
        <v>146</v>
      </c>
      <c r="H5" s="19">
        <v>19</v>
      </c>
      <c r="I5" s="3">
        <v>71.599999999999994</v>
      </c>
      <c r="J5" s="3">
        <v>179.6</v>
      </c>
      <c r="K5" s="3">
        <f t="shared" si="0"/>
        <v>32</v>
      </c>
      <c r="L5" s="13">
        <v>46199</v>
      </c>
      <c r="M5" s="3" t="s">
        <v>147</v>
      </c>
      <c r="N5" s="3">
        <v>1213</v>
      </c>
      <c r="O5" s="3">
        <v>36.5</v>
      </c>
      <c r="P5" s="3">
        <v>34</v>
      </c>
      <c r="Q5" s="3">
        <v>8.8000000000000007</v>
      </c>
      <c r="R5" s="3">
        <v>9.6999999999999993</v>
      </c>
      <c r="S5" s="3">
        <v>9.4</v>
      </c>
      <c r="T5" s="3">
        <v>11.2</v>
      </c>
      <c r="U5" s="3">
        <v>29</v>
      </c>
      <c r="V5" s="3">
        <v>29.2</v>
      </c>
      <c r="W5" s="3">
        <v>25.5</v>
      </c>
      <c r="X5" s="3">
        <v>24.5</v>
      </c>
      <c r="Y5" s="2">
        <f t="shared" si="1"/>
        <v>58.2</v>
      </c>
      <c r="Z5" s="2">
        <f t="shared" si="2"/>
        <v>50</v>
      </c>
      <c r="AA5" s="2">
        <f t="shared" si="3"/>
        <v>1.1640000000000001</v>
      </c>
      <c r="AB5" s="3">
        <v>15</v>
      </c>
      <c r="AC5" s="3">
        <v>18</v>
      </c>
      <c r="AD5" s="3">
        <v>8</v>
      </c>
      <c r="AE5" s="3">
        <v>7</v>
      </c>
      <c r="AF5" s="3">
        <v>32</v>
      </c>
      <c r="AG5" s="2"/>
      <c r="AH5" s="2">
        <f t="shared" si="4"/>
        <v>0</v>
      </c>
      <c r="AI5" s="2"/>
      <c r="AJ5" s="2">
        <f t="shared" si="5"/>
        <v>0</v>
      </c>
      <c r="AK5" s="2"/>
      <c r="AL5" s="2"/>
      <c r="AM5" s="3">
        <v>34</v>
      </c>
      <c r="AN5" s="3">
        <v>1910</v>
      </c>
      <c r="AO5" s="3">
        <v>14460</v>
      </c>
      <c r="AP5" s="3">
        <v>2.36</v>
      </c>
      <c r="AQ5" s="3">
        <v>6639</v>
      </c>
      <c r="AR5" s="23">
        <v>14.1</v>
      </c>
      <c r="AS5" s="23">
        <v>16.3</v>
      </c>
      <c r="AT5" s="2"/>
      <c r="AU5" s="3">
        <v>16.5</v>
      </c>
      <c r="AV5" s="3">
        <v>208</v>
      </c>
      <c r="AW5" s="45">
        <v>11353</v>
      </c>
      <c r="AX5" s="45">
        <v>1161</v>
      </c>
      <c r="AY5" s="45">
        <v>125.8</v>
      </c>
      <c r="AZ5" s="3">
        <v>6.9</v>
      </c>
      <c r="BA5" s="43">
        <v>9.1678795940000004</v>
      </c>
      <c r="BB5" s="2">
        <v>32.76</v>
      </c>
      <c r="BC5" s="2"/>
      <c r="BD5" s="3">
        <v>183</v>
      </c>
      <c r="BE5" s="2">
        <f t="shared" si="18"/>
        <v>2.5558659217877095</v>
      </c>
      <c r="BF5" s="3">
        <v>252</v>
      </c>
      <c r="BG5" s="2">
        <f t="shared" si="6"/>
        <v>3.5195530726256985</v>
      </c>
      <c r="BH5" s="3">
        <v>166</v>
      </c>
      <c r="BI5" s="2">
        <f t="shared" si="7"/>
        <v>2.3184357541899443</v>
      </c>
      <c r="BJ5" s="3">
        <v>167</v>
      </c>
      <c r="BK5" s="2">
        <f t="shared" si="8"/>
        <v>2.3324022346368718</v>
      </c>
      <c r="BL5" s="3">
        <v>153</v>
      </c>
      <c r="BM5" s="2">
        <f t="shared" si="9"/>
        <v>2.1368715083798886</v>
      </c>
      <c r="BN5" s="3">
        <v>146</v>
      </c>
      <c r="BO5" s="2">
        <f t="shared" si="10"/>
        <v>2.039106145251397</v>
      </c>
      <c r="BP5" s="3">
        <v>131</v>
      </c>
      <c r="BQ5" s="2">
        <f t="shared" si="11"/>
        <v>1.8296089385474861</v>
      </c>
      <c r="BR5" s="3">
        <v>134</v>
      </c>
      <c r="BS5" s="2">
        <f t="shared" si="12"/>
        <v>1.8715083798882683</v>
      </c>
      <c r="BT5" s="3">
        <v>175</v>
      </c>
      <c r="BU5" s="2">
        <f t="shared" si="13"/>
        <v>2.4441340782122909</v>
      </c>
      <c r="BV5" s="3">
        <v>216</v>
      </c>
      <c r="BW5" s="2">
        <f t="shared" si="14"/>
        <v>3.016759776536313</v>
      </c>
      <c r="BX5" s="2">
        <f t="shared" si="15"/>
        <v>1.0542168674698795</v>
      </c>
      <c r="BY5" s="2">
        <f t="shared" si="16"/>
        <v>1.2934131736526946</v>
      </c>
      <c r="BZ5" s="2">
        <v>3.5</v>
      </c>
      <c r="CA5" s="2">
        <v>6</v>
      </c>
      <c r="CB5" s="2">
        <v>1.5</v>
      </c>
      <c r="CC5" s="2">
        <v>6.5</v>
      </c>
      <c r="CD5" s="2">
        <v>3.5</v>
      </c>
      <c r="CE5" s="2">
        <v>5</v>
      </c>
      <c r="CF5" s="2">
        <v>3.5</v>
      </c>
      <c r="CG5" s="2">
        <v>2.5</v>
      </c>
      <c r="CH5" s="7" t="s">
        <v>143</v>
      </c>
      <c r="CI5" s="8">
        <v>15</v>
      </c>
      <c r="CJ5" s="8">
        <v>2</v>
      </c>
      <c r="CK5" s="24">
        <v>2.63</v>
      </c>
      <c r="CL5" s="24">
        <v>1.22</v>
      </c>
      <c r="CM5" s="24">
        <v>7.91</v>
      </c>
      <c r="CN5" s="14"/>
      <c r="CO5" s="14"/>
      <c r="CP5" s="25">
        <v>7.73</v>
      </c>
      <c r="CQ5" s="22">
        <v>27.827999999999999</v>
      </c>
      <c r="CR5" s="15">
        <f t="shared" si="17"/>
        <v>0.84945054945054954</v>
      </c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</row>
    <row r="6" spans="1:129" ht="14.25" customHeight="1" thickBot="1">
      <c r="A6" s="10" t="s">
        <v>155</v>
      </c>
      <c r="B6" s="10"/>
      <c r="C6" s="10" t="s">
        <v>148</v>
      </c>
      <c r="D6" s="10" t="s">
        <v>150</v>
      </c>
      <c r="E6" s="10" t="s">
        <v>151</v>
      </c>
      <c r="F6" s="11">
        <v>37975</v>
      </c>
      <c r="G6" s="12" t="s">
        <v>146</v>
      </c>
      <c r="H6" s="9">
        <v>22</v>
      </c>
      <c r="I6" s="3">
        <v>84.6</v>
      </c>
      <c r="J6" s="3">
        <v>181.9</v>
      </c>
      <c r="K6" s="3">
        <f t="shared" si="0"/>
        <v>0</v>
      </c>
      <c r="L6" s="13">
        <v>46231</v>
      </c>
      <c r="M6" s="3" t="s">
        <v>147</v>
      </c>
      <c r="N6" s="3">
        <v>1233</v>
      </c>
      <c r="O6" s="2"/>
      <c r="P6" s="2"/>
      <c r="Q6" s="3">
        <v>12.9</v>
      </c>
      <c r="R6" s="3">
        <v>11.9</v>
      </c>
      <c r="S6" s="3">
        <v>9</v>
      </c>
      <c r="T6" s="3">
        <v>7.7</v>
      </c>
      <c r="U6" s="3">
        <v>24.7</v>
      </c>
      <c r="V6" s="3">
        <v>23.7</v>
      </c>
      <c r="W6" s="3">
        <v>24.9</v>
      </c>
      <c r="X6" s="3">
        <v>25.4</v>
      </c>
      <c r="Y6" s="2">
        <f t="shared" si="1"/>
        <v>48.4</v>
      </c>
      <c r="Z6" s="2">
        <f t="shared" si="2"/>
        <v>50.3</v>
      </c>
      <c r="AA6" s="2">
        <f t="shared" si="3"/>
        <v>0.9622266401590458</v>
      </c>
      <c r="AB6" s="3">
        <v>29</v>
      </c>
      <c r="AC6" s="3">
        <v>30</v>
      </c>
      <c r="AD6" s="3">
        <v>13</v>
      </c>
      <c r="AE6" s="3">
        <v>13</v>
      </c>
      <c r="AF6" s="3">
        <v>26</v>
      </c>
      <c r="AG6" s="2"/>
      <c r="AH6" s="2">
        <f t="shared" si="4"/>
        <v>0</v>
      </c>
      <c r="AI6" s="2"/>
      <c r="AJ6" s="2">
        <f t="shared" si="5"/>
        <v>0</v>
      </c>
      <c r="AK6" s="2"/>
      <c r="AL6" s="2"/>
      <c r="AM6" s="3">
        <v>41.5</v>
      </c>
      <c r="AN6" s="3">
        <v>2172</v>
      </c>
      <c r="AO6" s="3">
        <v>15867</v>
      </c>
      <c r="AP6" s="3">
        <v>1.97</v>
      </c>
      <c r="AQ6" s="3">
        <v>5074</v>
      </c>
      <c r="AR6" s="2"/>
      <c r="AS6" s="2"/>
      <c r="AT6" s="2"/>
      <c r="AU6" s="2"/>
      <c r="AV6" s="2"/>
      <c r="AW6" s="46">
        <v>10623</v>
      </c>
      <c r="AX6" s="46">
        <v>934</v>
      </c>
      <c r="AY6" s="46">
        <v>12.1</v>
      </c>
      <c r="AZ6" s="3">
        <v>7.85</v>
      </c>
      <c r="BA6" s="43">
        <v>9.6967224539999997</v>
      </c>
      <c r="BB6" s="2">
        <v>34.200000000000003</v>
      </c>
      <c r="BC6" s="2"/>
      <c r="BD6" s="2"/>
      <c r="BE6" s="2">
        <f t="shared" si="18"/>
        <v>0</v>
      </c>
      <c r="BF6" s="2"/>
      <c r="BG6" s="2">
        <f t="shared" si="6"/>
        <v>0</v>
      </c>
      <c r="BH6" s="2"/>
      <c r="BI6" s="2">
        <f t="shared" si="7"/>
        <v>0</v>
      </c>
      <c r="BJ6" s="2"/>
      <c r="BK6" s="2">
        <f t="shared" si="8"/>
        <v>0</v>
      </c>
      <c r="BL6" s="2"/>
      <c r="BM6" s="2">
        <f t="shared" si="9"/>
        <v>0</v>
      </c>
      <c r="BN6" s="2"/>
      <c r="BO6" s="2">
        <f t="shared" si="10"/>
        <v>0</v>
      </c>
      <c r="BP6" s="2"/>
      <c r="BQ6" s="2">
        <f t="shared" si="11"/>
        <v>0</v>
      </c>
      <c r="BR6" s="2"/>
      <c r="BS6" s="2">
        <f t="shared" si="12"/>
        <v>0</v>
      </c>
      <c r="BT6" s="2"/>
      <c r="BU6" s="2">
        <f t="shared" si="13"/>
        <v>0</v>
      </c>
      <c r="BV6" s="2"/>
      <c r="BW6" s="2">
        <f t="shared" si="14"/>
        <v>0</v>
      </c>
      <c r="BX6" s="2" t="e">
        <f t="shared" si="15"/>
        <v>#DIV/0!</v>
      </c>
      <c r="BY6" s="2" t="e">
        <f t="shared" si="16"/>
        <v>#DIV/0!</v>
      </c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14"/>
      <c r="CL6" s="14"/>
      <c r="CM6" s="14"/>
      <c r="CN6" s="14"/>
      <c r="CO6" s="14"/>
      <c r="CP6" s="14"/>
      <c r="CQ6" s="14"/>
      <c r="CR6" s="15">
        <f t="shared" si="17"/>
        <v>0</v>
      </c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</row>
    <row r="7" spans="1:129" ht="14.25" customHeight="1" thickBot="1">
      <c r="A7" s="19" t="s">
        <v>156</v>
      </c>
      <c r="B7" s="16">
        <v>46</v>
      </c>
      <c r="C7" s="16" t="s">
        <v>143</v>
      </c>
      <c r="D7" s="16" t="s">
        <v>150</v>
      </c>
      <c r="E7" s="16" t="s">
        <v>153</v>
      </c>
      <c r="F7" s="17">
        <v>39689</v>
      </c>
      <c r="G7" s="18" t="s">
        <v>146</v>
      </c>
      <c r="H7" s="19">
        <v>17</v>
      </c>
      <c r="I7" s="3">
        <v>70.8</v>
      </c>
      <c r="J7" s="3">
        <v>183</v>
      </c>
      <c r="K7" s="3">
        <f t="shared" si="0"/>
        <v>50.5</v>
      </c>
      <c r="L7" s="13">
        <v>46216</v>
      </c>
      <c r="M7" s="3" t="s">
        <v>147</v>
      </c>
      <c r="N7" s="2"/>
      <c r="O7" s="3">
        <v>38.200000000000003</v>
      </c>
      <c r="P7" s="3">
        <v>27.5</v>
      </c>
      <c r="Q7" s="3">
        <v>12.7</v>
      </c>
      <c r="R7" s="3">
        <v>9</v>
      </c>
      <c r="S7" s="3">
        <v>8.6999999999999993</v>
      </c>
      <c r="T7" s="3">
        <v>10</v>
      </c>
      <c r="U7" s="3">
        <v>19.5</v>
      </c>
      <c r="V7" s="3">
        <v>19.3</v>
      </c>
      <c r="W7" s="3">
        <v>19.399999999999999</v>
      </c>
      <c r="X7" s="3">
        <v>21.1</v>
      </c>
      <c r="Y7" s="2">
        <f t="shared" si="1"/>
        <v>38.799999999999997</v>
      </c>
      <c r="Z7" s="2">
        <f t="shared" si="2"/>
        <v>40.5</v>
      </c>
      <c r="AA7" s="2">
        <f t="shared" si="3"/>
        <v>0.95802469135802459</v>
      </c>
      <c r="AB7" s="3">
        <v>29</v>
      </c>
      <c r="AC7" s="3">
        <v>26</v>
      </c>
      <c r="AD7" s="3">
        <v>6</v>
      </c>
      <c r="AE7" s="3">
        <v>7</v>
      </c>
      <c r="AF7" s="2"/>
      <c r="AG7" s="2"/>
      <c r="AH7" s="2">
        <f t="shared" si="4"/>
        <v>0</v>
      </c>
      <c r="AI7" s="2"/>
      <c r="AJ7" s="2">
        <f t="shared" si="5"/>
        <v>0</v>
      </c>
      <c r="AK7" s="2"/>
      <c r="AL7" s="2"/>
      <c r="AM7" s="18">
        <v>36.299999999999997</v>
      </c>
      <c r="AN7" s="20">
        <v>1959.8</v>
      </c>
      <c r="AO7" s="20">
        <v>14135</v>
      </c>
      <c r="AP7" s="3">
        <v>2.08</v>
      </c>
      <c r="AQ7" s="3">
        <v>6810</v>
      </c>
      <c r="AR7" s="2"/>
      <c r="AS7" s="2"/>
      <c r="AT7" s="2"/>
      <c r="AU7" s="2"/>
      <c r="AV7" s="2"/>
      <c r="AW7" s="47">
        <v>11059</v>
      </c>
      <c r="AX7" s="47">
        <v>1422</v>
      </c>
      <c r="AY7" s="47">
        <v>292.2</v>
      </c>
      <c r="AZ7" s="3">
        <v>7.4</v>
      </c>
      <c r="BA7" s="42">
        <v>9.3123730400000007</v>
      </c>
      <c r="BB7" s="3">
        <v>36.36</v>
      </c>
      <c r="BC7" s="2"/>
      <c r="BD7" s="3">
        <v>237</v>
      </c>
      <c r="BE7" s="2">
        <f t="shared" si="18"/>
        <v>3.347457627118644</v>
      </c>
      <c r="BF7" s="3">
        <v>259</v>
      </c>
      <c r="BG7" s="2">
        <f t="shared" si="6"/>
        <v>3.6581920903954805</v>
      </c>
      <c r="BH7" s="3">
        <v>200</v>
      </c>
      <c r="BI7" s="2">
        <f t="shared" si="7"/>
        <v>2.8248587570621471</v>
      </c>
      <c r="BJ7" s="3">
        <v>214</v>
      </c>
      <c r="BK7" s="2">
        <f t="shared" si="8"/>
        <v>3.0225988700564974</v>
      </c>
      <c r="BL7" s="3">
        <v>139</v>
      </c>
      <c r="BM7" s="2">
        <f t="shared" si="9"/>
        <v>1.9632768361581923</v>
      </c>
      <c r="BN7" s="3">
        <v>126</v>
      </c>
      <c r="BO7" s="2">
        <f t="shared" si="10"/>
        <v>1.7796610169491527</v>
      </c>
      <c r="BP7" s="3">
        <v>122</v>
      </c>
      <c r="BQ7" s="2">
        <f t="shared" si="11"/>
        <v>1.7231638418079096</v>
      </c>
      <c r="BR7" s="3">
        <v>108</v>
      </c>
      <c r="BS7" s="2">
        <f t="shared" si="12"/>
        <v>1.5254237288135595</v>
      </c>
      <c r="BT7" s="3">
        <v>194</v>
      </c>
      <c r="BU7" s="2">
        <f t="shared" si="13"/>
        <v>2.7401129943502824</v>
      </c>
      <c r="BV7" s="3">
        <v>159</v>
      </c>
      <c r="BW7" s="2">
        <f t="shared" si="14"/>
        <v>2.245762711864407</v>
      </c>
      <c r="BX7" s="2">
        <f t="shared" si="15"/>
        <v>0.97</v>
      </c>
      <c r="BY7" s="2">
        <f t="shared" si="16"/>
        <v>0.7429906542056075</v>
      </c>
      <c r="BZ7" s="2">
        <v>6</v>
      </c>
      <c r="CA7" s="2">
        <v>7.5</v>
      </c>
      <c r="CB7" s="2">
        <v>2.5</v>
      </c>
      <c r="CC7" s="2">
        <v>12</v>
      </c>
      <c r="CD7" s="2">
        <v>4</v>
      </c>
      <c r="CE7" s="2">
        <v>7</v>
      </c>
      <c r="CF7" s="2">
        <v>6.5</v>
      </c>
      <c r="CG7" s="2">
        <v>5</v>
      </c>
      <c r="CH7" s="7" t="s">
        <v>148</v>
      </c>
      <c r="CI7" s="8">
        <v>15</v>
      </c>
      <c r="CJ7" s="8">
        <v>2</v>
      </c>
      <c r="CK7" s="24">
        <v>2.61</v>
      </c>
      <c r="CL7" s="24">
        <v>1.21</v>
      </c>
      <c r="CM7" s="24">
        <v>8.18</v>
      </c>
      <c r="CN7" s="22"/>
      <c r="CO7" s="22"/>
      <c r="CP7" s="24">
        <v>7.67</v>
      </c>
      <c r="CQ7" s="22">
        <v>27.611999999999998</v>
      </c>
      <c r="CR7" s="15">
        <f t="shared" si="17"/>
        <v>0.75940594059405941</v>
      </c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</row>
    <row r="8" spans="1:129" ht="14.25" customHeight="1" thickBot="1">
      <c r="A8" s="10" t="s">
        <v>157</v>
      </c>
      <c r="B8" s="10">
        <v>10</v>
      </c>
      <c r="C8" s="10" t="s">
        <v>148</v>
      </c>
      <c r="D8" s="10" t="s">
        <v>150</v>
      </c>
      <c r="E8" s="10" t="s">
        <v>151</v>
      </c>
      <c r="F8" s="21">
        <v>36473</v>
      </c>
      <c r="G8" s="12" t="s">
        <v>146</v>
      </c>
      <c r="H8" s="9">
        <v>26</v>
      </c>
      <c r="I8" s="3">
        <v>81</v>
      </c>
      <c r="J8" s="3">
        <v>180.7</v>
      </c>
      <c r="K8" s="3">
        <f t="shared" si="0"/>
        <v>36.5</v>
      </c>
      <c r="L8" s="13">
        <v>46199</v>
      </c>
      <c r="M8" s="3" t="s">
        <v>147</v>
      </c>
      <c r="N8" s="3">
        <v>1384</v>
      </c>
      <c r="O8" s="3">
        <v>50.5</v>
      </c>
      <c r="P8" s="3">
        <v>50.9</v>
      </c>
      <c r="Q8" s="3">
        <v>10.1</v>
      </c>
      <c r="R8" s="3">
        <v>13.3</v>
      </c>
      <c r="S8" s="3">
        <v>10.3</v>
      </c>
      <c r="T8" s="3">
        <v>14.8</v>
      </c>
      <c r="U8" s="3">
        <v>31.2</v>
      </c>
      <c r="V8" s="3">
        <v>28.5</v>
      </c>
      <c r="W8" s="3">
        <v>35.200000000000003</v>
      </c>
      <c r="X8" s="3">
        <v>37.9</v>
      </c>
      <c r="Y8" s="2">
        <f t="shared" si="1"/>
        <v>59.7</v>
      </c>
      <c r="Z8" s="2">
        <f t="shared" si="2"/>
        <v>73.099999999999994</v>
      </c>
      <c r="AA8" s="2">
        <f t="shared" si="3"/>
        <v>0.81668946648426821</v>
      </c>
      <c r="AB8" s="3">
        <v>25</v>
      </c>
      <c r="AC8" s="3">
        <v>18</v>
      </c>
      <c r="AD8" s="3">
        <v>6</v>
      </c>
      <c r="AE8" s="3">
        <v>6</v>
      </c>
      <c r="AF8" s="3">
        <v>30.5</v>
      </c>
      <c r="AG8" s="2"/>
      <c r="AH8" s="2">
        <f t="shared" si="4"/>
        <v>0</v>
      </c>
      <c r="AI8" s="2"/>
      <c r="AJ8" s="2">
        <f t="shared" si="5"/>
        <v>0</v>
      </c>
      <c r="AK8" s="2"/>
      <c r="AL8" s="2"/>
      <c r="AM8" s="3">
        <v>43</v>
      </c>
      <c r="AN8" s="3">
        <v>2685</v>
      </c>
      <c r="AO8" s="3">
        <v>41658</v>
      </c>
      <c r="AP8" s="3">
        <v>1.78</v>
      </c>
      <c r="AQ8" s="3">
        <v>5148</v>
      </c>
      <c r="AR8" s="3">
        <v>12.3</v>
      </c>
      <c r="AS8" s="3">
        <v>16.2</v>
      </c>
      <c r="AT8" s="2"/>
      <c r="AU8" s="3">
        <v>16.5</v>
      </c>
      <c r="AV8" s="3">
        <v>222</v>
      </c>
      <c r="AW8" s="46">
        <v>11005</v>
      </c>
      <c r="AX8" s="46">
        <v>1272</v>
      </c>
      <c r="AY8" s="46">
        <v>99.9</v>
      </c>
      <c r="AZ8" s="3">
        <v>6.88</v>
      </c>
      <c r="BA8" s="43">
        <v>9.8294140819999996</v>
      </c>
      <c r="BB8" s="2"/>
      <c r="BC8" s="2"/>
      <c r="BD8" s="3">
        <v>311</v>
      </c>
      <c r="BE8" s="2">
        <f t="shared" si="18"/>
        <v>3.8395061728395063</v>
      </c>
      <c r="BF8" s="3">
        <v>292</v>
      </c>
      <c r="BG8" s="2">
        <f t="shared" si="6"/>
        <v>3.6049382716049383</v>
      </c>
      <c r="BH8" s="3">
        <v>209</v>
      </c>
      <c r="BI8" s="2">
        <f t="shared" si="7"/>
        <v>2.5802469135802468</v>
      </c>
      <c r="BJ8" s="3">
        <v>210</v>
      </c>
      <c r="BK8" s="2">
        <f t="shared" si="8"/>
        <v>2.5925925925925926</v>
      </c>
      <c r="BL8" s="3">
        <v>173</v>
      </c>
      <c r="BM8" s="2">
        <f t="shared" si="9"/>
        <v>2.1358024691358026</v>
      </c>
      <c r="BN8" s="3">
        <v>194</v>
      </c>
      <c r="BO8" s="2">
        <f t="shared" si="10"/>
        <v>2.3950617283950617</v>
      </c>
      <c r="BP8" s="3">
        <v>142</v>
      </c>
      <c r="BQ8" s="2">
        <f t="shared" si="11"/>
        <v>1.7530864197530864</v>
      </c>
      <c r="BR8" s="3">
        <v>149</v>
      </c>
      <c r="BS8" s="2">
        <f t="shared" si="12"/>
        <v>1.8395061728395061</v>
      </c>
      <c r="BT8" s="3">
        <v>278</v>
      </c>
      <c r="BU8" s="2">
        <f t="shared" si="13"/>
        <v>3.4320987654320989</v>
      </c>
      <c r="BV8" s="3">
        <v>266</v>
      </c>
      <c r="BW8" s="2">
        <f t="shared" si="14"/>
        <v>3.2839506172839505</v>
      </c>
      <c r="BX8" s="2">
        <f t="shared" si="15"/>
        <v>1.3301435406698565</v>
      </c>
      <c r="BY8" s="2">
        <f t="shared" si="16"/>
        <v>1.2666666666666666</v>
      </c>
      <c r="BZ8" s="2">
        <v>3.5</v>
      </c>
      <c r="CA8" s="2">
        <v>6.5</v>
      </c>
      <c r="CB8" s="2">
        <v>1.5</v>
      </c>
      <c r="CC8" s="2">
        <v>6</v>
      </c>
      <c r="CD8" s="2">
        <v>4</v>
      </c>
      <c r="CE8" s="2">
        <v>6.5</v>
      </c>
      <c r="CF8" s="2">
        <v>5</v>
      </c>
      <c r="CG8" s="2">
        <v>3.5</v>
      </c>
      <c r="CH8" s="7" t="s">
        <v>143</v>
      </c>
      <c r="CI8" s="8">
        <v>15</v>
      </c>
      <c r="CJ8" s="8">
        <v>2</v>
      </c>
      <c r="CK8" s="24">
        <v>2.66</v>
      </c>
      <c r="CL8" s="24">
        <v>1.23</v>
      </c>
      <c r="CM8" s="24">
        <v>7.89</v>
      </c>
      <c r="CN8" s="24">
        <v>18.97</v>
      </c>
      <c r="CO8" s="22">
        <v>1517.6</v>
      </c>
      <c r="CP8" s="24">
        <v>7.38</v>
      </c>
      <c r="CQ8" s="22">
        <v>26.568000000000001</v>
      </c>
      <c r="CR8" s="15" t="e">
        <f t="shared" si="17"/>
        <v>#DIV/0!</v>
      </c>
      <c r="CS8" s="8">
        <v>1</v>
      </c>
      <c r="CT8" s="8">
        <v>2.2599999999999998</v>
      </c>
      <c r="CU8" s="8">
        <v>11.36</v>
      </c>
      <c r="CV8" s="8">
        <v>685</v>
      </c>
      <c r="CW8" s="8">
        <v>8.6999999999999993</v>
      </c>
      <c r="CX8" s="8">
        <v>696</v>
      </c>
      <c r="CY8" s="8">
        <v>8.6999999999999993</v>
      </c>
      <c r="CZ8" s="8">
        <v>31.32</v>
      </c>
      <c r="DA8" s="8">
        <v>8.4499999999999993</v>
      </c>
      <c r="DB8" s="8">
        <v>30.42</v>
      </c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</row>
    <row r="9" spans="1:129" ht="14.25" customHeight="1" thickBot="1">
      <c r="A9" s="19" t="s">
        <v>158</v>
      </c>
      <c r="B9" s="16">
        <v>8</v>
      </c>
      <c r="C9" s="16" t="s">
        <v>148</v>
      </c>
      <c r="D9" s="16" t="s">
        <v>159</v>
      </c>
      <c r="E9" s="16" t="s">
        <v>160</v>
      </c>
      <c r="F9" s="17">
        <v>38150</v>
      </c>
      <c r="G9" s="18" t="s">
        <v>146</v>
      </c>
      <c r="H9" s="19">
        <v>22</v>
      </c>
      <c r="I9" s="3">
        <v>72.2</v>
      </c>
      <c r="J9" s="3">
        <v>180.4</v>
      </c>
      <c r="K9" s="3">
        <f t="shared" si="0"/>
        <v>31</v>
      </c>
      <c r="L9" s="13">
        <v>46199</v>
      </c>
      <c r="M9" s="3" t="s">
        <v>147</v>
      </c>
      <c r="N9" s="3">
        <v>944</v>
      </c>
      <c r="O9" s="3">
        <v>29.2</v>
      </c>
      <c r="P9" s="3">
        <v>32.200000000000003</v>
      </c>
      <c r="Q9" s="3">
        <v>12.5</v>
      </c>
      <c r="R9" s="3">
        <v>11.7</v>
      </c>
      <c r="S9" s="3">
        <v>10.4</v>
      </c>
      <c r="T9" s="3">
        <v>11.2</v>
      </c>
      <c r="U9" s="3">
        <v>19.899999999999999</v>
      </c>
      <c r="V9" s="3">
        <v>19.399999999999999</v>
      </c>
      <c r="W9" s="3">
        <v>20.6</v>
      </c>
      <c r="X9" s="3">
        <v>21.3</v>
      </c>
      <c r="Y9" s="2">
        <f t="shared" si="1"/>
        <v>39.299999999999997</v>
      </c>
      <c r="Z9" s="2">
        <f t="shared" si="2"/>
        <v>41.900000000000006</v>
      </c>
      <c r="AA9" s="2">
        <f t="shared" si="3"/>
        <v>0.93794749403341271</v>
      </c>
      <c r="AB9" s="3">
        <v>15</v>
      </c>
      <c r="AC9" s="3">
        <v>14</v>
      </c>
      <c r="AD9" s="3">
        <v>8</v>
      </c>
      <c r="AE9" s="3">
        <v>9</v>
      </c>
      <c r="AF9" s="3">
        <v>27.5</v>
      </c>
      <c r="AG9" s="2"/>
      <c r="AH9" s="2">
        <f t="shared" si="4"/>
        <v>0</v>
      </c>
      <c r="AI9" s="2"/>
      <c r="AJ9" s="2">
        <f t="shared" si="5"/>
        <v>0</v>
      </c>
      <c r="AK9" s="2"/>
      <c r="AL9" s="2"/>
      <c r="AM9" s="3">
        <v>40.200000000000003</v>
      </c>
      <c r="AN9" s="3">
        <v>2001</v>
      </c>
      <c r="AO9" s="3">
        <v>10912</v>
      </c>
      <c r="AP9" s="3">
        <v>2.02</v>
      </c>
      <c r="AQ9" s="20">
        <v>3101</v>
      </c>
      <c r="AR9" s="23">
        <v>12.6</v>
      </c>
      <c r="AS9" s="23">
        <v>15.5</v>
      </c>
      <c r="AT9" s="2"/>
      <c r="AU9" s="3">
        <v>16</v>
      </c>
      <c r="AV9" s="3">
        <v>224</v>
      </c>
      <c r="AW9" s="47">
        <v>11522</v>
      </c>
      <c r="AX9" s="47">
        <v>934</v>
      </c>
      <c r="AY9" s="47">
        <v>40.799999999999997</v>
      </c>
      <c r="AZ9" s="3">
        <v>7.12</v>
      </c>
      <c r="BA9" s="43">
        <v>9.6543979409999992</v>
      </c>
      <c r="BB9" s="3">
        <v>35.28</v>
      </c>
      <c r="BC9" s="2"/>
      <c r="BD9" s="3">
        <v>272</v>
      </c>
      <c r="BE9" s="2">
        <f t="shared" si="18"/>
        <v>3.7673130193905817</v>
      </c>
      <c r="BF9" s="3">
        <v>263</v>
      </c>
      <c r="BG9" s="2">
        <f t="shared" si="6"/>
        <v>3.642659279778393</v>
      </c>
      <c r="BH9" s="3">
        <v>196</v>
      </c>
      <c r="BI9" s="2">
        <f t="shared" si="7"/>
        <v>2.7146814404432131</v>
      </c>
      <c r="BJ9" s="3">
        <v>193</v>
      </c>
      <c r="BK9" s="2">
        <f t="shared" si="8"/>
        <v>2.6731301939058172</v>
      </c>
      <c r="BL9" s="3">
        <v>159</v>
      </c>
      <c r="BM9" s="2">
        <f t="shared" si="9"/>
        <v>2.2022160664819945</v>
      </c>
      <c r="BN9" s="3">
        <v>147</v>
      </c>
      <c r="BO9" s="2">
        <f t="shared" si="10"/>
        <v>2.0360110803324099</v>
      </c>
      <c r="BP9" s="3">
        <v>140</v>
      </c>
      <c r="BQ9" s="2">
        <f t="shared" si="11"/>
        <v>1.9390581717451523</v>
      </c>
      <c r="BR9" s="3">
        <v>135</v>
      </c>
      <c r="BS9" s="2">
        <f t="shared" si="12"/>
        <v>1.8698060941828254</v>
      </c>
      <c r="BT9" s="3">
        <v>173</v>
      </c>
      <c r="BU9" s="2">
        <f t="shared" si="13"/>
        <v>2.3961218836565097</v>
      </c>
      <c r="BV9" s="5">
        <v>171</v>
      </c>
      <c r="BW9" s="2">
        <f t="shared" si="14"/>
        <v>2.3684210526315788</v>
      </c>
      <c r="BX9" s="2">
        <f t="shared" si="15"/>
        <v>0.88265306122448983</v>
      </c>
      <c r="BY9" s="2">
        <f t="shared" si="16"/>
        <v>0.88601036269430056</v>
      </c>
      <c r="BZ9" s="2">
        <v>3.5</v>
      </c>
      <c r="CA9" s="2">
        <v>6</v>
      </c>
      <c r="CB9" s="2">
        <v>2</v>
      </c>
      <c r="CC9" s="2">
        <v>3.5</v>
      </c>
      <c r="CD9" s="2">
        <v>3</v>
      </c>
      <c r="CE9" s="2">
        <v>5</v>
      </c>
      <c r="CF9" s="2">
        <v>4.5</v>
      </c>
      <c r="CG9" s="2">
        <v>3.5</v>
      </c>
      <c r="CH9" s="7" t="s">
        <v>143</v>
      </c>
      <c r="CI9" s="8">
        <v>15</v>
      </c>
      <c r="CJ9" s="8">
        <v>2</v>
      </c>
      <c r="CK9" s="24">
        <v>2.58</v>
      </c>
      <c r="CL9" s="24">
        <v>1.1499999999999999</v>
      </c>
      <c r="CM9" s="24">
        <v>8.5500000000000007</v>
      </c>
      <c r="CN9" s="24">
        <v>20.22</v>
      </c>
      <c r="CO9" s="22">
        <v>1459.884</v>
      </c>
      <c r="CP9" s="24">
        <v>7.58</v>
      </c>
      <c r="CQ9" s="22">
        <v>27.288</v>
      </c>
      <c r="CR9" s="26"/>
      <c r="CS9" s="8">
        <v>0.88</v>
      </c>
      <c r="CT9" s="8">
        <v>1.98</v>
      </c>
      <c r="CU9" s="8">
        <v>9.6</v>
      </c>
      <c r="CV9" s="8">
        <v>573</v>
      </c>
      <c r="CW9" s="8">
        <v>9.6</v>
      </c>
      <c r="CX9" s="8">
        <v>693.12</v>
      </c>
      <c r="CY9" s="8">
        <v>8.4</v>
      </c>
      <c r="CZ9" s="8">
        <v>30.24</v>
      </c>
      <c r="DA9" s="8">
        <v>8.19</v>
      </c>
      <c r="DB9" s="8">
        <v>29.484000000000002</v>
      </c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</row>
    <row r="10" spans="1:129" ht="14.25" customHeight="1" thickBot="1">
      <c r="A10" s="9" t="s">
        <v>161</v>
      </c>
      <c r="B10" s="10">
        <v>48</v>
      </c>
      <c r="C10" s="10" t="s">
        <v>148</v>
      </c>
      <c r="D10" s="10" t="s">
        <v>150</v>
      </c>
      <c r="E10" s="10" t="s">
        <v>153</v>
      </c>
      <c r="F10" s="21">
        <v>39832</v>
      </c>
      <c r="G10" s="12" t="s">
        <v>146</v>
      </c>
      <c r="H10" s="10">
        <v>17</v>
      </c>
      <c r="I10" s="3">
        <v>63.7</v>
      </c>
      <c r="J10" s="3">
        <v>167</v>
      </c>
      <c r="K10" s="3">
        <f t="shared" si="0"/>
        <v>34.5</v>
      </c>
      <c r="L10" s="13">
        <v>46199</v>
      </c>
      <c r="M10" s="3" t="s">
        <v>147</v>
      </c>
      <c r="N10" s="3">
        <v>1220</v>
      </c>
      <c r="O10" s="3">
        <v>35.4</v>
      </c>
      <c r="P10" s="3">
        <v>31</v>
      </c>
      <c r="Q10" s="3">
        <v>10</v>
      </c>
      <c r="R10" s="3">
        <v>8.9</v>
      </c>
      <c r="S10" s="3">
        <v>11</v>
      </c>
      <c r="T10" s="3">
        <v>9.4</v>
      </c>
      <c r="U10" s="3">
        <v>29.4</v>
      </c>
      <c r="V10" s="3">
        <v>29</v>
      </c>
      <c r="W10" s="3">
        <v>22.6</v>
      </c>
      <c r="X10" s="3">
        <v>24.4</v>
      </c>
      <c r="Y10" s="2">
        <f t="shared" si="1"/>
        <v>58.4</v>
      </c>
      <c r="Z10" s="2">
        <f t="shared" si="2"/>
        <v>47</v>
      </c>
      <c r="AA10" s="2">
        <f t="shared" si="3"/>
        <v>1.2425531914893617</v>
      </c>
      <c r="AB10" s="3">
        <v>28</v>
      </c>
      <c r="AC10" s="3">
        <v>19</v>
      </c>
      <c r="AD10" s="3">
        <v>11</v>
      </c>
      <c r="AE10" s="3">
        <v>11</v>
      </c>
      <c r="AF10" s="3">
        <v>25.5</v>
      </c>
      <c r="AG10" s="2"/>
      <c r="AH10" s="2">
        <f t="shared" si="4"/>
        <v>0</v>
      </c>
      <c r="AI10" s="2"/>
      <c r="AJ10" s="2">
        <f t="shared" si="5"/>
        <v>0</v>
      </c>
      <c r="AK10" s="2"/>
      <c r="AL10" s="2"/>
      <c r="AM10" s="3">
        <v>40.4</v>
      </c>
      <c r="AN10" s="3">
        <v>1755</v>
      </c>
      <c r="AO10" s="3">
        <v>9513</v>
      </c>
      <c r="AP10" s="3">
        <v>2.1800000000000002</v>
      </c>
      <c r="AQ10" s="3">
        <v>4703</v>
      </c>
      <c r="AR10" s="3">
        <v>12.9</v>
      </c>
      <c r="AS10" s="3">
        <v>16.100000000000001</v>
      </c>
      <c r="AT10" s="2"/>
      <c r="AU10" s="3">
        <v>16.5</v>
      </c>
      <c r="AV10" s="3">
        <v>213</v>
      </c>
      <c r="AW10" s="44">
        <v>11754</v>
      </c>
      <c r="AX10" s="44">
        <v>1522</v>
      </c>
      <c r="AY10" s="44">
        <v>66</v>
      </c>
      <c r="AZ10" s="3">
        <v>6.66</v>
      </c>
      <c r="BA10" s="42">
        <v>9.8543750390000007</v>
      </c>
      <c r="BB10" s="3">
        <v>33.119999999999997</v>
      </c>
      <c r="BC10" s="2"/>
      <c r="BD10" s="3">
        <v>208</v>
      </c>
      <c r="BE10" s="2">
        <f t="shared" si="18"/>
        <v>3.2653061224489797</v>
      </c>
      <c r="BF10" s="3">
        <v>216.9</v>
      </c>
      <c r="BG10" s="2">
        <f t="shared" si="6"/>
        <v>3.4050235478806905</v>
      </c>
      <c r="BH10" s="3">
        <v>138.6</v>
      </c>
      <c r="BI10" s="2">
        <f t="shared" si="7"/>
        <v>2.1758241758241756</v>
      </c>
      <c r="BJ10" s="3">
        <v>140.19999999999999</v>
      </c>
      <c r="BK10" s="2">
        <f t="shared" si="8"/>
        <v>2.2009419152276291</v>
      </c>
      <c r="BL10" s="3">
        <v>118</v>
      </c>
      <c r="BM10" s="2">
        <f t="shared" si="9"/>
        <v>1.8524332810047095</v>
      </c>
      <c r="BN10" s="3">
        <v>131.80000000000001</v>
      </c>
      <c r="BO10" s="2">
        <f t="shared" si="10"/>
        <v>2.0690737833594977</v>
      </c>
      <c r="BP10" s="3">
        <v>128.69999999999999</v>
      </c>
      <c r="BQ10" s="2">
        <f t="shared" si="11"/>
        <v>2.0204081632653059</v>
      </c>
      <c r="BR10" s="3">
        <v>97.2</v>
      </c>
      <c r="BS10" s="2">
        <f t="shared" si="12"/>
        <v>1.5259026687598116</v>
      </c>
      <c r="BT10" s="3">
        <v>145.5</v>
      </c>
      <c r="BU10" s="2">
        <f t="shared" si="13"/>
        <v>2.2841444270015696</v>
      </c>
      <c r="BV10" s="3">
        <v>161.69999999999999</v>
      </c>
      <c r="BW10" s="2">
        <f t="shared" si="14"/>
        <v>2.5384615384615383</v>
      </c>
      <c r="BX10" s="2">
        <f t="shared" si="15"/>
        <v>1.0497835497835499</v>
      </c>
      <c r="BY10" s="2">
        <f t="shared" si="16"/>
        <v>1.1533523537803139</v>
      </c>
      <c r="BZ10" s="2">
        <v>3.5</v>
      </c>
      <c r="CA10" s="2">
        <v>6.5</v>
      </c>
      <c r="CB10" s="2">
        <v>2</v>
      </c>
      <c r="CC10" s="2">
        <v>6</v>
      </c>
      <c r="CD10" s="2">
        <v>3.5</v>
      </c>
      <c r="CE10" s="2">
        <v>5</v>
      </c>
      <c r="CF10" s="2">
        <v>4.5</v>
      </c>
      <c r="CG10" s="2">
        <v>3.5</v>
      </c>
      <c r="CH10" s="7" t="s">
        <v>148</v>
      </c>
      <c r="CI10" s="8">
        <v>15</v>
      </c>
      <c r="CJ10" s="8">
        <v>2</v>
      </c>
      <c r="CK10" s="24">
        <v>2.56</v>
      </c>
      <c r="CL10" s="24">
        <v>1.18</v>
      </c>
      <c r="CM10" s="24">
        <v>7.94</v>
      </c>
      <c r="CN10" s="24">
        <v>21.46</v>
      </c>
      <c r="CO10" s="22">
        <v>1367.002</v>
      </c>
      <c r="CP10" s="24">
        <v>7.68</v>
      </c>
      <c r="CQ10" s="22">
        <v>27.648</v>
      </c>
      <c r="CR10" s="15">
        <f t="shared" ref="CR10:CR70" si="19">((CQ10*100)/BB10)/100</f>
        <v>0.83478260869565235</v>
      </c>
      <c r="CS10" s="7" t="s">
        <v>162</v>
      </c>
      <c r="CT10" s="8">
        <v>1.94</v>
      </c>
      <c r="CU10" s="8">
        <v>9.61</v>
      </c>
      <c r="CV10" s="8">
        <v>535</v>
      </c>
      <c r="CW10" s="8">
        <v>10</v>
      </c>
      <c r="CX10" s="8">
        <v>637</v>
      </c>
      <c r="CY10" s="8">
        <v>8.58</v>
      </c>
      <c r="CZ10" s="8">
        <v>30.888000000000002</v>
      </c>
      <c r="DA10" s="8">
        <v>8.35</v>
      </c>
      <c r="DB10" s="8">
        <v>30.06</v>
      </c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</row>
    <row r="11" spans="1:129" ht="14.25" customHeight="1" thickBot="1">
      <c r="A11" s="19" t="s">
        <v>163</v>
      </c>
      <c r="B11" s="16">
        <v>24</v>
      </c>
      <c r="C11" s="16" t="s">
        <v>148</v>
      </c>
      <c r="D11" s="16" t="s">
        <v>159</v>
      </c>
      <c r="E11" s="16" t="s">
        <v>164</v>
      </c>
      <c r="F11" s="27">
        <v>36885</v>
      </c>
      <c r="G11" s="18" t="s">
        <v>146</v>
      </c>
      <c r="H11" s="19">
        <v>25</v>
      </c>
      <c r="I11" s="3">
        <v>86.1</v>
      </c>
      <c r="J11" s="3">
        <v>186.6</v>
      </c>
      <c r="K11" s="3">
        <f t="shared" si="0"/>
        <v>42</v>
      </c>
      <c r="L11" s="13">
        <v>46198</v>
      </c>
      <c r="M11" s="3" t="s">
        <v>147</v>
      </c>
      <c r="N11" s="3">
        <v>1263</v>
      </c>
      <c r="O11" s="3">
        <v>37.1</v>
      </c>
      <c r="P11" s="3">
        <v>40.4</v>
      </c>
      <c r="Q11" s="3">
        <v>8.9</v>
      </c>
      <c r="R11" s="3">
        <v>11</v>
      </c>
      <c r="S11" s="3">
        <v>11</v>
      </c>
      <c r="T11" s="3">
        <v>10.5</v>
      </c>
      <c r="U11" s="3">
        <v>28</v>
      </c>
      <c r="V11" s="3">
        <v>26.9</v>
      </c>
      <c r="W11" s="3">
        <v>24.7</v>
      </c>
      <c r="X11" s="3">
        <v>28</v>
      </c>
      <c r="Y11" s="2">
        <f t="shared" si="1"/>
        <v>54.9</v>
      </c>
      <c r="Z11" s="2">
        <f t="shared" si="2"/>
        <v>52.7</v>
      </c>
      <c r="AA11" s="2">
        <f t="shared" si="3"/>
        <v>1.0417457305502846</v>
      </c>
      <c r="AB11" s="3">
        <v>17</v>
      </c>
      <c r="AC11" s="3">
        <v>16</v>
      </c>
      <c r="AD11" s="3">
        <v>9</v>
      </c>
      <c r="AE11" s="3">
        <v>11</v>
      </c>
      <c r="AF11" s="3">
        <v>30.5</v>
      </c>
      <c r="AG11" s="2"/>
      <c r="AH11" s="2">
        <f t="shared" si="4"/>
        <v>0</v>
      </c>
      <c r="AI11" s="2"/>
      <c r="AJ11" s="2">
        <f t="shared" si="5"/>
        <v>0</v>
      </c>
      <c r="AK11" s="2"/>
      <c r="AL11" s="2"/>
      <c r="AM11" s="3">
        <v>39</v>
      </c>
      <c r="AN11" s="3">
        <v>2073</v>
      </c>
      <c r="AO11" s="3">
        <v>8522</v>
      </c>
      <c r="AP11" s="3">
        <v>1.82</v>
      </c>
      <c r="AQ11" s="3">
        <v>3815</v>
      </c>
      <c r="AR11" s="3">
        <v>11.9</v>
      </c>
      <c r="AS11" s="3">
        <v>16.399999999999999</v>
      </c>
      <c r="AT11" s="2"/>
      <c r="AU11" s="3">
        <v>16.5</v>
      </c>
      <c r="AV11" s="3">
        <v>215</v>
      </c>
      <c r="AW11" s="47">
        <v>11947</v>
      </c>
      <c r="AX11" s="47">
        <v>1226</v>
      </c>
      <c r="AY11" s="47">
        <v>86.8</v>
      </c>
      <c r="AZ11" s="3">
        <v>6.57</v>
      </c>
      <c r="BA11" s="42">
        <v>8.6317689590000004</v>
      </c>
      <c r="BB11" s="3"/>
      <c r="BC11" s="2"/>
      <c r="BD11" s="3">
        <v>200</v>
      </c>
      <c r="BE11" s="2">
        <f t="shared" si="18"/>
        <v>2.3228803716608595</v>
      </c>
      <c r="BF11" s="3">
        <v>264</v>
      </c>
      <c r="BG11" s="2">
        <f t="shared" si="6"/>
        <v>3.0662020905923346</v>
      </c>
      <c r="BH11" s="3">
        <v>175</v>
      </c>
      <c r="BI11" s="2">
        <f t="shared" si="7"/>
        <v>2.0325203252032522</v>
      </c>
      <c r="BJ11" s="3">
        <v>213</v>
      </c>
      <c r="BK11" s="2">
        <f t="shared" si="8"/>
        <v>2.4738675958188154</v>
      </c>
      <c r="BL11" s="3">
        <v>136</v>
      </c>
      <c r="BM11" s="2">
        <f t="shared" si="9"/>
        <v>1.5795586527293846</v>
      </c>
      <c r="BN11" s="3">
        <v>148</v>
      </c>
      <c r="BO11" s="2">
        <f t="shared" si="10"/>
        <v>1.7189314750290361</v>
      </c>
      <c r="BP11" s="3">
        <v>117</v>
      </c>
      <c r="BQ11" s="2">
        <f t="shared" si="11"/>
        <v>1.3588850174216029</v>
      </c>
      <c r="BR11" s="3">
        <v>165</v>
      </c>
      <c r="BS11" s="2">
        <f t="shared" si="12"/>
        <v>1.9163763066202091</v>
      </c>
      <c r="BT11" s="3">
        <v>215</v>
      </c>
      <c r="BU11" s="2">
        <f t="shared" si="13"/>
        <v>2.4970963995354243</v>
      </c>
      <c r="BV11" s="3">
        <v>209</v>
      </c>
      <c r="BW11" s="2">
        <f t="shared" si="14"/>
        <v>2.4274099883855982</v>
      </c>
      <c r="BX11" s="2">
        <f t="shared" si="15"/>
        <v>1.2285714285714286</v>
      </c>
      <c r="BY11" s="2">
        <f t="shared" si="16"/>
        <v>0.98122065727699526</v>
      </c>
      <c r="BZ11" s="2">
        <v>4</v>
      </c>
      <c r="CA11" s="2">
        <v>8</v>
      </c>
      <c r="CB11" s="2">
        <v>2.5</v>
      </c>
      <c r="CC11" s="2">
        <v>7.5</v>
      </c>
      <c r="CD11" s="2">
        <v>4</v>
      </c>
      <c r="CE11" s="2">
        <v>7</v>
      </c>
      <c r="CF11" s="2">
        <v>5.5</v>
      </c>
      <c r="CG11" s="2">
        <v>3.5</v>
      </c>
      <c r="CH11" s="7" t="s">
        <v>143</v>
      </c>
      <c r="CI11" s="8">
        <v>15</v>
      </c>
      <c r="CJ11" s="8">
        <v>2</v>
      </c>
      <c r="CK11" s="24">
        <v>2.58</v>
      </c>
      <c r="CL11" s="24">
        <v>1.19</v>
      </c>
      <c r="CM11" s="24">
        <v>8.26</v>
      </c>
      <c r="CN11" s="24">
        <v>20.21</v>
      </c>
      <c r="CO11" s="22">
        <v>1740.0809999999999</v>
      </c>
      <c r="CP11" s="24">
        <v>7.63</v>
      </c>
      <c r="CQ11" s="22">
        <v>27.468</v>
      </c>
      <c r="CR11" s="15" t="e">
        <f t="shared" si="19"/>
        <v>#DIV/0!</v>
      </c>
      <c r="CS11" s="8">
        <v>0.9</v>
      </c>
      <c r="CT11" s="8">
        <v>2.04</v>
      </c>
      <c r="CU11" s="8">
        <v>10.07</v>
      </c>
      <c r="CV11" s="8">
        <v>711</v>
      </c>
      <c r="CW11" s="8">
        <v>9.4600000000000009</v>
      </c>
      <c r="CX11" s="8">
        <v>814.50599999999997</v>
      </c>
      <c r="CY11" s="8">
        <v>8.5399999999999991</v>
      </c>
      <c r="CZ11" s="8">
        <v>30.744</v>
      </c>
      <c r="DA11" s="8">
        <v>8.32</v>
      </c>
      <c r="DB11" s="8">
        <v>29.952000000000002</v>
      </c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</row>
    <row r="12" spans="1:129" ht="14.25" customHeight="1" thickBot="1">
      <c r="A12" s="16" t="s">
        <v>165</v>
      </c>
      <c r="B12" s="16">
        <v>20</v>
      </c>
      <c r="C12" s="16" t="s">
        <v>143</v>
      </c>
      <c r="D12" s="16" t="s">
        <v>144</v>
      </c>
      <c r="E12" s="16" t="s">
        <v>145</v>
      </c>
      <c r="F12" s="27">
        <v>37543</v>
      </c>
      <c r="G12" s="12" t="s">
        <v>146</v>
      </c>
      <c r="H12" s="16">
        <v>23</v>
      </c>
      <c r="I12" s="3">
        <v>73.8</v>
      </c>
      <c r="J12" s="3">
        <v>183</v>
      </c>
      <c r="K12" s="3">
        <f t="shared" si="0"/>
        <v>33.5</v>
      </c>
      <c r="L12" s="13">
        <v>46209</v>
      </c>
      <c r="M12" s="3" t="s">
        <v>147</v>
      </c>
      <c r="N12" s="3">
        <v>1038</v>
      </c>
      <c r="O12" s="3">
        <v>34.1</v>
      </c>
      <c r="P12" s="3">
        <v>32.200000000000003</v>
      </c>
      <c r="Q12" s="3">
        <v>8.4</v>
      </c>
      <c r="R12" s="3">
        <v>10</v>
      </c>
      <c r="S12" s="3">
        <v>15.1</v>
      </c>
      <c r="T12" s="3">
        <v>12.2</v>
      </c>
      <c r="U12" s="3">
        <v>22.8</v>
      </c>
      <c r="V12" s="3">
        <v>24</v>
      </c>
      <c r="W12" s="3">
        <v>16.2</v>
      </c>
      <c r="X12" s="3">
        <v>17.8</v>
      </c>
      <c r="Y12" s="2">
        <f t="shared" si="1"/>
        <v>46.8</v>
      </c>
      <c r="Z12" s="2">
        <f t="shared" si="2"/>
        <v>34</v>
      </c>
      <c r="AA12" s="2">
        <f t="shared" si="3"/>
        <v>1.3764705882352941</v>
      </c>
      <c r="AB12" s="3">
        <v>29</v>
      </c>
      <c r="AC12" s="3">
        <v>24</v>
      </c>
      <c r="AD12" s="3">
        <v>11.5</v>
      </c>
      <c r="AE12" s="3">
        <v>13</v>
      </c>
      <c r="AF12" s="3">
        <v>33</v>
      </c>
      <c r="AG12" s="2"/>
      <c r="AH12" s="2"/>
      <c r="AI12" s="2"/>
      <c r="AJ12" s="2"/>
      <c r="AK12" s="2"/>
      <c r="AL12" s="2"/>
      <c r="AM12" s="3">
        <v>39</v>
      </c>
      <c r="AN12" s="3">
        <v>1900</v>
      </c>
      <c r="AO12" s="3">
        <v>11096</v>
      </c>
      <c r="AP12" s="3">
        <v>1.83</v>
      </c>
      <c r="AQ12" s="28">
        <v>3898</v>
      </c>
      <c r="AR12" s="12">
        <v>12.1</v>
      </c>
      <c r="AS12" s="12">
        <v>16.399999999999999</v>
      </c>
      <c r="AT12" s="2"/>
      <c r="AU12" s="2"/>
      <c r="AV12" s="2"/>
      <c r="AW12" s="46">
        <v>10390</v>
      </c>
      <c r="AX12" s="46">
        <v>910</v>
      </c>
      <c r="AY12" s="46">
        <v>42</v>
      </c>
      <c r="AZ12" s="3">
        <v>6.41</v>
      </c>
      <c r="BA12" s="43">
        <v>9.6704858080000005</v>
      </c>
      <c r="BB12" s="2"/>
      <c r="BC12" s="2"/>
      <c r="BD12" s="3">
        <v>131</v>
      </c>
      <c r="BE12" s="2">
        <f t="shared" si="18"/>
        <v>1.7750677506775068</v>
      </c>
      <c r="BF12" s="3">
        <v>260</v>
      </c>
      <c r="BG12" s="2">
        <f t="shared" si="6"/>
        <v>3.5230352303523036</v>
      </c>
      <c r="BH12" s="3">
        <v>138</v>
      </c>
      <c r="BI12" s="2">
        <f t="shared" si="7"/>
        <v>1.8699186991869921</v>
      </c>
      <c r="BJ12" s="3">
        <v>166</v>
      </c>
      <c r="BK12" s="2">
        <f t="shared" si="8"/>
        <v>2.2493224932249323</v>
      </c>
      <c r="BL12" s="3">
        <v>128</v>
      </c>
      <c r="BM12" s="2">
        <f t="shared" si="9"/>
        <v>1.7344173441734418</v>
      </c>
      <c r="BN12" s="3">
        <v>117</v>
      </c>
      <c r="BO12" s="2">
        <f t="shared" si="10"/>
        <v>1.5853658536585367</v>
      </c>
      <c r="BP12" s="3">
        <v>109</v>
      </c>
      <c r="BQ12" s="2">
        <f t="shared" si="11"/>
        <v>1.4769647696476966</v>
      </c>
      <c r="BR12" s="3">
        <v>89</v>
      </c>
      <c r="BS12" s="2">
        <f t="shared" si="12"/>
        <v>1.2059620596205962</v>
      </c>
      <c r="BT12" s="3">
        <v>134</v>
      </c>
      <c r="BU12" s="2">
        <f t="shared" si="13"/>
        <v>1.8157181571815719</v>
      </c>
      <c r="BV12" s="3">
        <v>122</v>
      </c>
      <c r="BW12" s="2">
        <f t="shared" si="14"/>
        <v>1.6531165311653118</v>
      </c>
      <c r="BX12" s="2">
        <f t="shared" si="15"/>
        <v>0.97101449275362317</v>
      </c>
      <c r="BY12" s="2">
        <f t="shared" si="16"/>
        <v>0.73493975903614461</v>
      </c>
      <c r="BZ12" s="2">
        <v>3.5</v>
      </c>
      <c r="CA12" s="2">
        <v>6</v>
      </c>
      <c r="CB12" s="2">
        <v>2</v>
      </c>
      <c r="CC12" s="2">
        <v>4.5</v>
      </c>
      <c r="CD12" s="2">
        <v>4</v>
      </c>
      <c r="CE12" s="2">
        <v>6</v>
      </c>
      <c r="CF12" s="2">
        <v>4.5</v>
      </c>
      <c r="CG12" s="2">
        <v>3</v>
      </c>
      <c r="CH12" s="7" t="s">
        <v>143</v>
      </c>
      <c r="CI12" s="8">
        <v>15</v>
      </c>
      <c r="CJ12" s="8">
        <v>2</v>
      </c>
      <c r="CK12" s="24">
        <v>2.65</v>
      </c>
      <c r="CL12" s="24">
        <v>1.23</v>
      </c>
      <c r="CM12" s="24">
        <v>7.68</v>
      </c>
      <c r="CN12" s="24">
        <v>18.91</v>
      </c>
      <c r="CO12" s="22">
        <v>1399.34</v>
      </c>
      <c r="CP12" s="24">
        <v>7.59</v>
      </c>
      <c r="CQ12" s="22">
        <v>27.324000000000002</v>
      </c>
      <c r="CR12" s="15" t="e">
        <f t="shared" si="19"/>
        <v>#DIV/0!</v>
      </c>
      <c r="CS12" s="8">
        <v>1</v>
      </c>
      <c r="CT12" s="8">
        <v>2.2200000000000002</v>
      </c>
      <c r="CU12" s="8">
        <v>11.11</v>
      </c>
      <c r="CV12" s="8">
        <v>625</v>
      </c>
      <c r="CW12" s="8">
        <v>8.68</v>
      </c>
      <c r="CX12" s="8">
        <v>642.32000000000005</v>
      </c>
      <c r="CY12" s="8">
        <v>8.7100000000000009</v>
      </c>
      <c r="CZ12" s="8">
        <v>31.356000000000002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</row>
    <row r="13" spans="1:129" ht="14.25" customHeight="1" thickBot="1">
      <c r="A13" s="16" t="s">
        <v>166</v>
      </c>
      <c r="B13" s="16">
        <v>1</v>
      </c>
      <c r="C13" s="16" t="s">
        <v>148</v>
      </c>
      <c r="D13" s="16" t="s">
        <v>167</v>
      </c>
      <c r="E13" s="16" t="s">
        <v>168</v>
      </c>
      <c r="F13" s="27">
        <v>38088</v>
      </c>
      <c r="G13" s="18" t="s">
        <v>146</v>
      </c>
      <c r="H13" s="16">
        <v>22</v>
      </c>
      <c r="I13" s="3">
        <v>97.7</v>
      </c>
      <c r="J13" s="3">
        <v>207</v>
      </c>
      <c r="K13" s="3">
        <f t="shared" si="0"/>
        <v>41.5</v>
      </c>
      <c r="L13" s="13">
        <v>46199</v>
      </c>
      <c r="M13" s="3" t="s">
        <v>147</v>
      </c>
      <c r="N13" s="3">
        <v>1371</v>
      </c>
      <c r="O13" s="3">
        <v>31.7</v>
      </c>
      <c r="P13" s="3">
        <v>36</v>
      </c>
      <c r="Q13" s="3">
        <v>9.6999999999999993</v>
      </c>
      <c r="R13" s="3">
        <v>10</v>
      </c>
      <c r="S13" s="3">
        <v>10.6</v>
      </c>
      <c r="T13" s="3">
        <v>9.1</v>
      </c>
      <c r="U13" s="3">
        <v>30.6</v>
      </c>
      <c r="V13" s="3">
        <v>31.5</v>
      </c>
      <c r="W13" s="3">
        <v>27.1</v>
      </c>
      <c r="X13" s="3">
        <v>28.1</v>
      </c>
      <c r="Y13" s="2">
        <f t="shared" si="1"/>
        <v>62.1</v>
      </c>
      <c r="Z13" s="2">
        <f t="shared" si="2"/>
        <v>55.2</v>
      </c>
      <c r="AA13" s="2">
        <f t="shared" si="3"/>
        <v>1.125</v>
      </c>
      <c r="AB13" s="3">
        <v>13</v>
      </c>
      <c r="AC13" s="3">
        <v>11</v>
      </c>
      <c r="AD13" s="3">
        <v>14</v>
      </c>
      <c r="AE13" s="3">
        <v>12</v>
      </c>
      <c r="AF13" s="3">
        <v>49</v>
      </c>
      <c r="AG13" s="2"/>
      <c r="AH13" s="2"/>
      <c r="AI13" s="2"/>
      <c r="AJ13" s="2"/>
      <c r="AK13" s="2"/>
      <c r="AL13" s="2"/>
      <c r="AM13" s="3">
        <v>34.5</v>
      </c>
      <c r="AN13" s="3">
        <v>2487</v>
      </c>
      <c r="AO13" s="3">
        <v>21757</v>
      </c>
      <c r="AP13" s="3">
        <v>2.0299999999999998</v>
      </c>
      <c r="AQ13" s="3">
        <v>5516</v>
      </c>
      <c r="AR13" s="3">
        <v>11.6</v>
      </c>
      <c r="AS13" s="3">
        <v>15.1</v>
      </c>
      <c r="AT13" s="2"/>
      <c r="AU13" s="2"/>
      <c r="AV13" s="3">
        <v>234</v>
      </c>
      <c r="AW13" s="45">
        <v>5212</v>
      </c>
      <c r="AX13" s="45">
        <v>56</v>
      </c>
      <c r="AY13" s="45">
        <v>2.2999999999999998</v>
      </c>
      <c r="AZ13" s="3">
        <v>8.06</v>
      </c>
      <c r="BA13" s="43">
        <v>9.9035757659999994</v>
      </c>
      <c r="BB13" s="2"/>
      <c r="BC13" s="2"/>
      <c r="BD13" s="3">
        <v>355</v>
      </c>
      <c r="BE13" s="2">
        <f t="shared" si="18"/>
        <v>3.6335721596724668</v>
      </c>
      <c r="BF13" s="3">
        <v>330</v>
      </c>
      <c r="BG13" s="2">
        <f t="shared" si="6"/>
        <v>3.3776867963152508</v>
      </c>
      <c r="BH13" s="3">
        <v>221</v>
      </c>
      <c r="BI13" s="2">
        <f t="shared" si="7"/>
        <v>2.262026612077789</v>
      </c>
      <c r="BJ13" s="3">
        <v>215</v>
      </c>
      <c r="BK13" s="2">
        <f t="shared" si="8"/>
        <v>2.2006141248720574</v>
      </c>
      <c r="BL13" s="3">
        <v>164</v>
      </c>
      <c r="BM13" s="2">
        <f t="shared" si="9"/>
        <v>1.6786079836233367</v>
      </c>
      <c r="BN13" s="3">
        <v>179</v>
      </c>
      <c r="BO13" s="2">
        <f t="shared" si="10"/>
        <v>1.8321392016376663</v>
      </c>
      <c r="BP13" s="3">
        <v>184</v>
      </c>
      <c r="BQ13" s="2">
        <f t="shared" si="11"/>
        <v>1.8833162743091094</v>
      </c>
      <c r="BR13" s="3">
        <v>196</v>
      </c>
      <c r="BS13" s="2">
        <f t="shared" si="12"/>
        <v>2.006141248720573</v>
      </c>
      <c r="BT13" s="3">
        <v>238</v>
      </c>
      <c r="BU13" s="2">
        <f t="shared" si="13"/>
        <v>2.4360286591606961</v>
      </c>
      <c r="BV13" s="3">
        <v>199</v>
      </c>
      <c r="BW13" s="2">
        <f t="shared" si="14"/>
        <v>2.0368474923234392</v>
      </c>
      <c r="BX13" s="2">
        <f t="shared" si="15"/>
        <v>1.0769230769230769</v>
      </c>
      <c r="BY13" s="2">
        <f t="shared" si="16"/>
        <v>0.92558139534883721</v>
      </c>
      <c r="BZ13" s="2">
        <v>4</v>
      </c>
      <c r="CA13" s="2">
        <v>9</v>
      </c>
      <c r="CB13" s="2">
        <v>2.5</v>
      </c>
      <c r="CC13" s="2">
        <v>7.5</v>
      </c>
      <c r="CD13" s="2">
        <v>4</v>
      </c>
      <c r="CE13" s="2">
        <v>4.5</v>
      </c>
      <c r="CF13" s="2">
        <v>6.5</v>
      </c>
      <c r="CG13" s="2">
        <v>3.5</v>
      </c>
      <c r="CH13" s="2"/>
      <c r="CI13" s="2"/>
      <c r="CJ13" s="2"/>
      <c r="CK13" s="14"/>
      <c r="CL13" s="14"/>
      <c r="CM13" s="14"/>
      <c r="CN13" s="14"/>
      <c r="CO13" s="14"/>
      <c r="CP13" s="14"/>
      <c r="CQ13" s="14"/>
      <c r="CR13" s="15" t="e">
        <f t="shared" si="19"/>
        <v>#DIV/0!</v>
      </c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</row>
    <row r="14" spans="1:129" ht="14.25" customHeight="1" thickBot="1">
      <c r="A14" s="10" t="s">
        <v>169</v>
      </c>
      <c r="B14" s="10">
        <v>85</v>
      </c>
      <c r="C14" s="10"/>
      <c r="D14" s="10" t="s">
        <v>150</v>
      </c>
      <c r="E14" s="10" t="s">
        <v>151</v>
      </c>
      <c r="F14" s="11">
        <v>38706</v>
      </c>
      <c r="G14" s="12" t="s">
        <v>146</v>
      </c>
      <c r="H14" s="9">
        <v>20</v>
      </c>
      <c r="I14" s="3">
        <v>85.3</v>
      </c>
      <c r="J14" s="3">
        <v>184</v>
      </c>
      <c r="K14" s="3">
        <f t="shared" si="0"/>
        <v>49.5</v>
      </c>
      <c r="L14" s="13">
        <v>46199</v>
      </c>
      <c r="M14" s="3" t="s">
        <v>147</v>
      </c>
      <c r="N14" s="2"/>
      <c r="O14" s="2"/>
      <c r="P14" s="2"/>
      <c r="Q14" s="2"/>
      <c r="R14" s="2"/>
      <c r="S14" s="2"/>
      <c r="T14" s="2"/>
      <c r="U14" s="2"/>
      <c r="V14" s="2"/>
      <c r="W14" s="3"/>
      <c r="X14" s="2"/>
      <c r="Y14" s="2">
        <f t="shared" si="1"/>
        <v>0</v>
      </c>
      <c r="Z14" s="2">
        <f t="shared" si="2"/>
        <v>0</v>
      </c>
      <c r="AA14" s="2" t="e">
        <f t="shared" si="3"/>
        <v>#DIV/0!</v>
      </c>
      <c r="AB14" s="2"/>
      <c r="AC14" s="2"/>
      <c r="AD14" s="2"/>
      <c r="AE14" s="2"/>
      <c r="AF14" s="2"/>
      <c r="AG14" s="2"/>
      <c r="AH14" s="2">
        <f t="shared" ref="AH14:AH17" si="20">AG14/I14</f>
        <v>0</v>
      </c>
      <c r="AI14" s="2"/>
      <c r="AJ14" s="2">
        <f t="shared" ref="AJ14:AJ17" si="21">AI14/I14</f>
        <v>0</v>
      </c>
      <c r="AK14" s="2"/>
      <c r="AL14" s="2"/>
      <c r="AM14" s="2"/>
      <c r="AN14" s="2"/>
      <c r="AO14" s="2"/>
      <c r="AP14" s="2"/>
      <c r="AQ14" s="3">
        <v>3615</v>
      </c>
      <c r="AR14" s="2"/>
      <c r="AS14" s="2"/>
      <c r="AT14" s="2"/>
      <c r="AU14" s="2"/>
      <c r="AV14" s="2"/>
      <c r="AW14" s="44">
        <v>10879</v>
      </c>
      <c r="AX14" s="44">
        <v>1530</v>
      </c>
      <c r="AY14" s="44">
        <v>96.3</v>
      </c>
      <c r="AZ14" s="3">
        <v>6.8</v>
      </c>
      <c r="BA14" s="42">
        <v>9.6564678609999994</v>
      </c>
      <c r="BB14" s="3">
        <v>35.64</v>
      </c>
      <c r="BC14" s="2"/>
      <c r="BD14" s="3">
        <v>201</v>
      </c>
      <c r="BE14" s="2">
        <f t="shared" si="18"/>
        <v>2.3563892145369287</v>
      </c>
      <c r="BF14" s="3">
        <v>330</v>
      </c>
      <c r="BG14" s="2">
        <f t="shared" si="6"/>
        <v>3.8686987104337631</v>
      </c>
      <c r="BH14" s="3">
        <v>170</v>
      </c>
      <c r="BI14" s="2">
        <f t="shared" si="7"/>
        <v>1.992966002344666</v>
      </c>
      <c r="BJ14" s="3">
        <v>248</v>
      </c>
      <c r="BK14" s="2">
        <f t="shared" si="8"/>
        <v>2.9073856975381007</v>
      </c>
      <c r="BL14" s="3">
        <v>145</v>
      </c>
      <c r="BM14" s="2">
        <f t="shared" si="9"/>
        <v>1.6998827667057446</v>
      </c>
      <c r="BN14" s="3">
        <v>181</v>
      </c>
      <c r="BO14" s="2">
        <f t="shared" si="10"/>
        <v>2.1219226260257913</v>
      </c>
      <c r="BP14" s="3">
        <v>132</v>
      </c>
      <c r="BQ14" s="2">
        <f t="shared" si="11"/>
        <v>1.5474794841735053</v>
      </c>
      <c r="BR14" s="3">
        <v>179</v>
      </c>
      <c r="BS14" s="2">
        <f t="shared" si="12"/>
        <v>2.0984759671746778</v>
      </c>
      <c r="BT14" s="3">
        <v>301</v>
      </c>
      <c r="BU14" s="2">
        <f t="shared" si="13"/>
        <v>3.5287221570926146</v>
      </c>
      <c r="BV14" s="3">
        <v>288</v>
      </c>
      <c r="BW14" s="2">
        <f t="shared" si="14"/>
        <v>3.3763188745603752</v>
      </c>
      <c r="BX14" s="2">
        <f t="shared" si="15"/>
        <v>1.7705882352941176</v>
      </c>
      <c r="BY14" s="2">
        <f t="shared" si="16"/>
        <v>1.1612903225806452</v>
      </c>
      <c r="BZ14" s="2">
        <v>5.5</v>
      </c>
      <c r="CA14" s="2">
        <v>8</v>
      </c>
      <c r="CB14" s="2">
        <v>2</v>
      </c>
      <c r="CC14" s="2">
        <v>8</v>
      </c>
      <c r="CD14" s="2">
        <v>5</v>
      </c>
      <c r="CE14" s="2">
        <v>10</v>
      </c>
      <c r="CF14" s="2">
        <v>6.5</v>
      </c>
      <c r="CG14" s="2">
        <v>4.5</v>
      </c>
      <c r="CH14" s="2"/>
      <c r="CI14" s="2"/>
      <c r="CJ14" s="2"/>
      <c r="CK14" s="14"/>
      <c r="CL14" s="14"/>
      <c r="CM14" s="14"/>
      <c r="CN14" s="14"/>
      <c r="CO14" s="14"/>
      <c r="CP14" s="14"/>
      <c r="CQ14" s="14"/>
      <c r="CR14" s="15">
        <f t="shared" si="19"/>
        <v>0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</row>
    <row r="15" spans="1:129" ht="14.25" customHeight="1" thickBot="1">
      <c r="A15" s="19" t="s">
        <v>170</v>
      </c>
      <c r="B15" s="16">
        <v>22</v>
      </c>
      <c r="C15" s="16" t="s">
        <v>143</v>
      </c>
      <c r="D15" s="16" t="s">
        <v>144</v>
      </c>
      <c r="E15" s="16" t="s">
        <v>171</v>
      </c>
      <c r="F15" s="17">
        <v>37867</v>
      </c>
      <c r="G15" s="18" t="s">
        <v>146</v>
      </c>
      <c r="H15" s="19">
        <v>22</v>
      </c>
      <c r="I15" s="3">
        <v>88</v>
      </c>
      <c r="J15" s="3">
        <v>189.2</v>
      </c>
      <c r="K15" s="3">
        <f t="shared" si="0"/>
        <v>41.5</v>
      </c>
      <c r="L15" s="13">
        <v>46199</v>
      </c>
      <c r="M15" s="3" t="s">
        <v>147</v>
      </c>
      <c r="N15" s="3">
        <v>1302</v>
      </c>
      <c r="O15" s="3">
        <v>43.8</v>
      </c>
      <c r="P15" s="3">
        <v>42.7</v>
      </c>
      <c r="Q15" s="3">
        <v>23</v>
      </c>
      <c r="R15" s="3">
        <v>20.7</v>
      </c>
      <c r="S15" s="3">
        <v>18.600000000000001</v>
      </c>
      <c r="T15" s="3">
        <v>16.100000000000001</v>
      </c>
      <c r="U15" s="3">
        <v>27</v>
      </c>
      <c r="V15" s="3">
        <v>29</v>
      </c>
      <c r="W15" s="3">
        <v>28.5</v>
      </c>
      <c r="X15" s="3">
        <v>28.9</v>
      </c>
      <c r="Y15" s="2">
        <f t="shared" si="1"/>
        <v>56</v>
      </c>
      <c r="Z15" s="2">
        <f t="shared" si="2"/>
        <v>57.4</v>
      </c>
      <c r="AA15" s="2">
        <f t="shared" si="3"/>
        <v>0.97560975609756095</v>
      </c>
      <c r="AB15" s="3">
        <v>21</v>
      </c>
      <c r="AC15" s="3">
        <v>22</v>
      </c>
      <c r="AD15" s="3">
        <v>10</v>
      </c>
      <c r="AE15" s="3">
        <v>12</v>
      </c>
      <c r="AF15" s="3">
        <v>25</v>
      </c>
      <c r="AG15" s="2"/>
      <c r="AH15" s="2">
        <f t="shared" si="20"/>
        <v>0</v>
      </c>
      <c r="AI15" s="2"/>
      <c r="AJ15" s="2">
        <f t="shared" si="21"/>
        <v>0</v>
      </c>
      <c r="AK15" s="2"/>
      <c r="AL15" s="2"/>
      <c r="AM15" s="3">
        <v>38.1</v>
      </c>
      <c r="AN15" s="3">
        <v>2623.4</v>
      </c>
      <c r="AO15" s="3">
        <v>17694</v>
      </c>
      <c r="AP15" s="3">
        <v>2.39</v>
      </c>
      <c r="AQ15" s="3">
        <v>4155</v>
      </c>
      <c r="AR15" s="3">
        <v>11.5</v>
      </c>
      <c r="AS15" s="3">
        <v>15.4</v>
      </c>
      <c r="AT15" s="2"/>
      <c r="AU15" s="3">
        <v>16</v>
      </c>
      <c r="AV15" s="2"/>
      <c r="AW15" s="45">
        <v>10060</v>
      </c>
      <c r="AX15" s="45">
        <v>800</v>
      </c>
      <c r="AY15" s="45">
        <v>22</v>
      </c>
      <c r="AZ15" s="3">
        <v>7.4</v>
      </c>
      <c r="BA15" s="42">
        <v>8.4698126049999996</v>
      </c>
      <c r="BB15" s="3">
        <v>33.479999999999997</v>
      </c>
      <c r="BC15" s="2"/>
      <c r="BD15" s="3">
        <v>284</v>
      </c>
      <c r="BE15" s="2">
        <f t="shared" si="18"/>
        <v>3.2272727272727271</v>
      </c>
      <c r="BF15" s="3">
        <v>264</v>
      </c>
      <c r="BG15" s="2">
        <f t="shared" si="6"/>
        <v>3</v>
      </c>
      <c r="BH15" s="3">
        <v>181</v>
      </c>
      <c r="BI15" s="2">
        <f t="shared" si="7"/>
        <v>2.0568181818181817</v>
      </c>
      <c r="BJ15" s="3">
        <v>195</v>
      </c>
      <c r="BK15" s="2">
        <f t="shared" si="8"/>
        <v>2.2159090909090908</v>
      </c>
      <c r="BL15" s="3">
        <v>185</v>
      </c>
      <c r="BM15" s="2">
        <f t="shared" si="9"/>
        <v>2.1022727272727271</v>
      </c>
      <c r="BN15" s="3">
        <v>158</v>
      </c>
      <c r="BO15" s="2">
        <f t="shared" si="10"/>
        <v>1.7954545454545454</v>
      </c>
      <c r="BP15" s="3">
        <v>171</v>
      </c>
      <c r="BQ15" s="2">
        <f t="shared" si="11"/>
        <v>1.9431818181818181</v>
      </c>
      <c r="BR15" s="3">
        <v>123</v>
      </c>
      <c r="BS15" s="2">
        <f t="shared" si="12"/>
        <v>1.3977272727272727</v>
      </c>
      <c r="BT15" s="3">
        <v>211</v>
      </c>
      <c r="BU15" s="2">
        <f t="shared" si="13"/>
        <v>2.3977272727272729</v>
      </c>
      <c r="BV15" s="3">
        <v>164</v>
      </c>
      <c r="BW15" s="2">
        <f t="shared" si="14"/>
        <v>1.8636363636363635</v>
      </c>
      <c r="BX15" s="2">
        <f t="shared" si="15"/>
        <v>1.1657458563535912</v>
      </c>
      <c r="BY15" s="2">
        <f t="shared" si="16"/>
        <v>0.84102564102564104</v>
      </c>
      <c r="BZ15" s="2">
        <v>4.5</v>
      </c>
      <c r="CA15" s="2">
        <v>10.5</v>
      </c>
      <c r="CB15" s="2">
        <v>3</v>
      </c>
      <c r="CC15" s="2">
        <v>5</v>
      </c>
      <c r="CD15" s="2">
        <v>4</v>
      </c>
      <c r="CE15" s="2">
        <v>6.5</v>
      </c>
      <c r="CF15" s="2">
        <v>4.5</v>
      </c>
      <c r="CG15" s="2">
        <v>3.5</v>
      </c>
      <c r="CH15" s="2" t="s">
        <v>148</v>
      </c>
      <c r="CI15" s="2">
        <v>15</v>
      </c>
      <c r="CJ15" s="2">
        <v>2</v>
      </c>
      <c r="CK15" s="14">
        <v>2.59</v>
      </c>
      <c r="CL15" s="14">
        <v>1.2</v>
      </c>
      <c r="CM15" s="14">
        <v>7.91</v>
      </c>
      <c r="CN15" s="14">
        <v>19.54</v>
      </c>
      <c r="CO15" s="14">
        <v>1719.52</v>
      </c>
      <c r="CP15" s="14">
        <v>7.72</v>
      </c>
      <c r="CQ15" s="14">
        <v>27.792000000000002</v>
      </c>
      <c r="CR15" s="15">
        <f t="shared" si="19"/>
        <v>0.83010752688172063</v>
      </c>
      <c r="CS15" s="2">
        <v>1.01</v>
      </c>
      <c r="CT15" s="2">
        <v>2.2599999999999998</v>
      </c>
      <c r="CU15" s="2">
        <v>11.58</v>
      </c>
      <c r="CV15" s="2">
        <v>758</v>
      </c>
      <c r="CW15" s="2">
        <v>8.81</v>
      </c>
      <c r="CX15" s="2">
        <v>775.28</v>
      </c>
      <c r="CY15" s="2">
        <v>8.8800000000000008</v>
      </c>
      <c r="CZ15" s="2">
        <v>31.968</v>
      </c>
      <c r="DA15" s="2">
        <v>8.61</v>
      </c>
      <c r="DB15" s="2">
        <v>30.995999999999999</v>
      </c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</row>
    <row r="16" spans="1:129" ht="14.25" customHeight="1" thickBot="1">
      <c r="A16" s="9" t="s">
        <v>172</v>
      </c>
      <c r="B16" s="10">
        <v>6</v>
      </c>
      <c r="C16" s="10" t="s">
        <v>143</v>
      </c>
      <c r="D16" s="10" t="s">
        <v>159</v>
      </c>
      <c r="E16" s="10" t="s">
        <v>173</v>
      </c>
      <c r="F16" s="21">
        <v>36637</v>
      </c>
      <c r="G16" s="12" t="s">
        <v>146</v>
      </c>
      <c r="H16" s="9">
        <v>26</v>
      </c>
      <c r="I16" s="3">
        <v>66.599999999999994</v>
      </c>
      <c r="J16" s="3">
        <v>173</v>
      </c>
      <c r="K16" s="3">
        <f t="shared" si="0"/>
        <v>44</v>
      </c>
      <c r="L16" s="13">
        <v>46199</v>
      </c>
      <c r="M16" s="3" t="s">
        <v>147</v>
      </c>
      <c r="N16" s="3">
        <v>901</v>
      </c>
      <c r="O16" s="3">
        <v>35.700000000000003</v>
      </c>
      <c r="P16" s="3">
        <v>39.200000000000003</v>
      </c>
      <c r="Q16" s="3">
        <v>8.8000000000000007</v>
      </c>
      <c r="R16" s="3">
        <v>9.6999999999999993</v>
      </c>
      <c r="S16" s="3">
        <v>11.3</v>
      </c>
      <c r="T16" s="3">
        <v>9.6999999999999993</v>
      </c>
      <c r="U16" s="3">
        <v>26.9</v>
      </c>
      <c r="V16" s="3">
        <v>27</v>
      </c>
      <c r="W16" s="3">
        <v>21.9</v>
      </c>
      <c r="X16" s="3">
        <v>22.3</v>
      </c>
      <c r="Y16" s="2">
        <f t="shared" si="1"/>
        <v>53.9</v>
      </c>
      <c r="Z16" s="2">
        <f t="shared" si="2"/>
        <v>44.2</v>
      </c>
      <c r="AA16" s="2">
        <f t="shared" si="3"/>
        <v>1.2194570135746605</v>
      </c>
      <c r="AB16" s="3">
        <v>20</v>
      </c>
      <c r="AC16" s="3">
        <v>18</v>
      </c>
      <c r="AD16" s="3">
        <v>11</v>
      </c>
      <c r="AE16" s="3">
        <v>11</v>
      </c>
      <c r="AF16" s="3">
        <v>35</v>
      </c>
      <c r="AG16" s="2"/>
      <c r="AH16" s="2">
        <f t="shared" si="20"/>
        <v>0</v>
      </c>
      <c r="AI16" s="2"/>
      <c r="AJ16" s="2">
        <f t="shared" si="21"/>
        <v>0</v>
      </c>
      <c r="AK16" s="2"/>
      <c r="AL16" s="2"/>
      <c r="AM16" s="3">
        <v>36.1</v>
      </c>
      <c r="AN16" s="3">
        <v>1940.9</v>
      </c>
      <c r="AO16" s="3">
        <v>20043</v>
      </c>
      <c r="AP16" s="3">
        <v>2.1</v>
      </c>
      <c r="AQ16" s="3">
        <v>4168</v>
      </c>
      <c r="AR16" s="3">
        <v>13.4</v>
      </c>
      <c r="AS16" s="3">
        <v>17.100000000000001</v>
      </c>
      <c r="AT16" s="2"/>
      <c r="AU16" s="3">
        <v>17.5</v>
      </c>
      <c r="AV16" s="3">
        <v>204</v>
      </c>
      <c r="AW16" s="44">
        <v>12083</v>
      </c>
      <c r="AX16" s="44">
        <v>1016</v>
      </c>
      <c r="AY16" s="44">
        <v>54.2</v>
      </c>
      <c r="AZ16" s="3">
        <v>6.3</v>
      </c>
      <c r="BA16" s="42">
        <v>8.2379660179999998</v>
      </c>
      <c r="BB16" s="3">
        <v>32.4</v>
      </c>
      <c r="BC16" s="2"/>
      <c r="BD16" s="3">
        <v>187.8</v>
      </c>
      <c r="BE16" s="2">
        <f t="shared" si="18"/>
        <v>2.8198198198198203</v>
      </c>
      <c r="BF16" s="3">
        <v>197.7</v>
      </c>
      <c r="BG16" s="2">
        <f t="shared" si="6"/>
        <v>2.9684684684684686</v>
      </c>
      <c r="BH16" s="3">
        <v>132.69999999999999</v>
      </c>
      <c r="BI16" s="2">
        <f t="shared" si="7"/>
        <v>1.9924924924924925</v>
      </c>
      <c r="BJ16" s="3">
        <v>131.30000000000001</v>
      </c>
      <c r="BK16" s="2">
        <f t="shared" si="8"/>
        <v>1.9714714714714718</v>
      </c>
      <c r="BL16" s="3">
        <v>133</v>
      </c>
      <c r="BM16" s="2">
        <f t="shared" si="9"/>
        <v>1.9969969969969972</v>
      </c>
      <c r="BN16" s="3">
        <v>121.9</v>
      </c>
      <c r="BO16" s="2">
        <f t="shared" si="10"/>
        <v>1.8303303303303307</v>
      </c>
      <c r="BP16" s="3">
        <v>102.2</v>
      </c>
      <c r="BQ16" s="2">
        <f t="shared" si="11"/>
        <v>1.5345345345345347</v>
      </c>
      <c r="BR16" s="3">
        <v>91.1</v>
      </c>
      <c r="BS16" s="2">
        <f t="shared" si="12"/>
        <v>1.367867867867868</v>
      </c>
      <c r="BT16" s="3">
        <v>117.8</v>
      </c>
      <c r="BU16" s="2">
        <f t="shared" si="13"/>
        <v>1.768768768768769</v>
      </c>
      <c r="BV16" s="3">
        <v>86.1</v>
      </c>
      <c r="BW16" s="2">
        <f t="shared" si="14"/>
        <v>1.2927927927927929</v>
      </c>
      <c r="BX16" s="2">
        <f t="shared" si="15"/>
        <v>0.8877166541070084</v>
      </c>
      <c r="BY16" s="2">
        <f t="shared" si="16"/>
        <v>0.65575019040365568</v>
      </c>
      <c r="BZ16" s="2">
        <v>5</v>
      </c>
      <c r="CA16" s="2">
        <v>7.5</v>
      </c>
      <c r="CB16" s="2">
        <v>1.5</v>
      </c>
      <c r="CC16" s="2">
        <v>8.5</v>
      </c>
      <c r="CD16" s="2">
        <v>4.5</v>
      </c>
      <c r="CE16" s="2">
        <v>6.5</v>
      </c>
      <c r="CF16" s="2">
        <v>6.5</v>
      </c>
      <c r="CG16" s="2">
        <v>4</v>
      </c>
      <c r="CH16" s="8" t="s">
        <v>148</v>
      </c>
      <c r="CI16" s="8">
        <v>15</v>
      </c>
      <c r="CJ16" s="8">
        <v>2</v>
      </c>
      <c r="CK16" s="22">
        <v>2.73</v>
      </c>
      <c r="CL16" s="22">
        <v>1.28</v>
      </c>
      <c r="CM16" s="22">
        <v>7.53</v>
      </c>
      <c r="CN16" s="22">
        <v>18.2</v>
      </c>
      <c r="CO16" s="22">
        <v>1201.2</v>
      </c>
      <c r="CP16" s="22">
        <v>7.4</v>
      </c>
      <c r="CQ16" s="22">
        <v>26.64</v>
      </c>
      <c r="CR16" s="15">
        <f t="shared" si="19"/>
        <v>0.8222222222222223</v>
      </c>
      <c r="CS16" s="8">
        <v>0.97</v>
      </c>
      <c r="CT16" s="8">
        <v>2.19</v>
      </c>
      <c r="CU16" s="8">
        <v>10.59</v>
      </c>
      <c r="CV16" s="8">
        <v>514</v>
      </c>
      <c r="CW16" s="8">
        <v>8.64</v>
      </c>
      <c r="CX16" s="8">
        <v>570.24</v>
      </c>
      <c r="CY16" s="8">
        <v>8.42</v>
      </c>
      <c r="CZ16" s="8">
        <v>30.312000000000001</v>
      </c>
      <c r="DA16" s="8">
        <v>8.16</v>
      </c>
      <c r="DB16" s="8">
        <v>29.376000000000001</v>
      </c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</row>
    <row r="17" spans="1:129" ht="14.25" customHeight="1" thickBot="1">
      <c r="A17" s="16" t="s">
        <v>174</v>
      </c>
      <c r="B17" s="16">
        <v>21</v>
      </c>
      <c r="C17" s="16" t="s">
        <v>148</v>
      </c>
      <c r="D17" s="16" t="s">
        <v>144</v>
      </c>
      <c r="E17" s="16" t="s">
        <v>145</v>
      </c>
      <c r="F17" s="17">
        <v>39637</v>
      </c>
      <c r="G17" s="18" t="s">
        <v>146</v>
      </c>
      <c r="H17" s="19">
        <v>18</v>
      </c>
      <c r="I17" s="3">
        <v>72.599999999999994</v>
      </c>
      <c r="J17" s="3">
        <v>175.3</v>
      </c>
      <c r="K17" s="3">
        <f t="shared" si="0"/>
        <v>62</v>
      </c>
      <c r="L17" s="13">
        <v>46199</v>
      </c>
      <c r="M17" s="3" t="s">
        <v>147</v>
      </c>
      <c r="N17" s="3">
        <v>1142</v>
      </c>
      <c r="O17" s="3">
        <v>34.299999999999997</v>
      </c>
      <c r="P17" s="3">
        <v>32.700000000000003</v>
      </c>
      <c r="Q17" s="3">
        <v>6.5</v>
      </c>
      <c r="R17" s="3">
        <v>9.1</v>
      </c>
      <c r="S17" s="3">
        <v>8.8000000000000007</v>
      </c>
      <c r="T17" s="3">
        <v>11.3</v>
      </c>
      <c r="U17" s="3">
        <v>18.899999999999999</v>
      </c>
      <c r="V17" s="3">
        <v>20.399999999999999</v>
      </c>
      <c r="W17" s="3">
        <v>20.7</v>
      </c>
      <c r="X17" s="3">
        <v>18.5</v>
      </c>
      <c r="Y17" s="2">
        <f t="shared" si="1"/>
        <v>39.299999999999997</v>
      </c>
      <c r="Z17" s="2">
        <f t="shared" si="2"/>
        <v>39.200000000000003</v>
      </c>
      <c r="AA17" s="2">
        <f t="shared" si="3"/>
        <v>1.0025510204081631</v>
      </c>
      <c r="AB17" s="3">
        <v>14</v>
      </c>
      <c r="AC17" s="3">
        <v>18</v>
      </c>
      <c r="AD17" s="3">
        <v>10</v>
      </c>
      <c r="AE17" s="3">
        <v>11</v>
      </c>
      <c r="AF17" s="3">
        <v>21.5</v>
      </c>
      <c r="AG17" s="2"/>
      <c r="AH17" s="2">
        <f t="shared" si="20"/>
        <v>0</v>
      </c>
      <c r="AI17" s="2"/>
      <c r="AJ17" s="2">
        <f t="shared" si="21"/>
        <v>0</v>
      </c>
      <c r="AK17" s="2"/>
      <c r="AL17" s="2"/>
      <c r="AM17" s="3">
        <v>40.4</v>
      </c>
      <c r="AN17" s="3">
        <v>1859</v>
      </c>
      <c r="AO17" s="3">
        <v>26663</v>
      </c>
      <c r="AP17" s="3">
        <v>3.35</v>
      </c>
      <c r="AQ17" s="3">
        <v>6917</v>
      </c>
      <c r="AR17" s="3">
        <v>12.1</v>
      </c>
      <c r="AS17" s="3">
        <v>15.1</v>
      </c>
      <c r="AT17" s="3"/>
      <c r="AU17" s="3">
        <v>15</v>
      </c>
      <c r="AV17" s="3">
        <v>219</v>
      </c>
      <c r="AW17" s="45">
        <v>10954</v>
      </c>
      <c r="AX17" s="45">
        <v>1067</v>
      </c>
      <c r="AY17" s="45">
        <v>16.600000000000001</v>
      </c>
      <c r="AZ17" s="3">
        <v>7.07</v>
      </c>
      <c r="BA17" s="43">
        <v>8.9865953909999998</v>
      </c>
      <c r="BB17" s="2">
        <v>33.119999999999997</v>
      </c>
      <c r="BC17" s="2"/>
      <c r="BD17" s="3">
        <v>218</v>
      </c>
      <c r="BE17" s="2">
        <f t="shared" si="18"/>
        <v>3.0027548209366395</v>
      </c>
      <c r="BF17" s="3">
        <v>236</v>
      </c>
      <c r="BG17" s="2">
        <f t="shared" si="6"/>
        <v>3.2506887052341602</v>
      </c>
      <c r="BH17" s="3">
        <v>175</v>
      </c>
      <c r="BI17" s="2">
        <f t="shared" si="7"/>
        <v>2.4104683195592287</v>
      </c>
      <c r="BJ17" s="3">
        <v>211</v>
      </c>
      <c r="BK17" s="2">
        <f t="shared" si="8"/>
        <v>2.9063360881542701</v>
      </c>
      <c r="BL17" s="3">
        <v>118</v>
      </c>
      <c r="BM17" s="2">
        <f t="shared" si="9"/>
        <v>1.6253443526170801</v>
      </c>
      <c r="BN17" s="3">
        <v>140</v>
      </c>
      <c r="BO17" s="2">
        <f t="shared" si="10"/>
        <v>1.9283746556473831</v>
      </c>
      <c r="BP17" s="3">
        <v>95</v>
      </c>
      <c r="BQ17" s="2">
        <f t="shared" si="11"/>
        <v>1.3085399449035813</v>
      </c>
      <c r="BR17" s="3">
        <v>123</v>
      </c>
      <c r="BS17" s="2">
        <f t="shared" si="12"/>
        <v>1.694214876033058</v>
      </c>
      <c r="BT17" s="3">
        <v>131</v>
      </c>
      <c r="BU17" s="2">
        <f t="shared" si="13"/>
        <v>1.8044077134986227</v>
      </c>
      <c r="BV17" s="3">
        <v>172</v>
      </c>
      <c r="BW17" s="2">
        <f t="shared" si="14"/>
        <v>2.3691460055096423</v>
      </c>
      <c r="BX17" s="2">
        <f t="shared" si="15"/>
        <v>0.74857142857142855</v>
      </c>
      <c r="BY17" s="2">
        <f t="shared" si="16"/>
        <v>0.81516587677725116</v>
      </c>
      <c r="BZ17" s="2">
        <v>7.5</v>
      </c>
      <c r="CA17" s="2">
        <v>7.5</v>
      </c>
      <c r="CB17" s="2">
        <v>3</v>
      </c>
      <c r="CC17" s="2">
        <v>14</v>
      </c>
      <c r="CD17" s="2">
        <v>5</v>
      </c>
      <c r="CE17" s="2">
        <v>9.5</v>
      </c>
      <c r="CF17" s="2">
        <v>9.5</v>
      </c>
      <c r="CG17" s="2">
        <v>6</v>
      </c>
      <c r="CH17" s="7" t="s">
        <v>143</v>
      </c>
      <c r="CI17" s="8">
        <v>15</v>
      </c>
      <c r="CJ17" s="8">
        <v>2</v>
      </c>
      <c r="CK17" s="24">
        <v>2.6</v>
      </c>
      <c r="CL17" s="24">
        <v>1.19</v>
      </c>
      <c r="CM17" s="24">
        <v>7.4</v>
      </c>
      <c r="CN17" s="24">
        <v>19.489999999999998</v>
      </c>
      <c r="CO17" s="22">
        <v>1414.9739999999999</v>
      </c>
      <c r="CP17" s="24">
        <v>7.59</v>
      </c>
      <c r="CQ17" s="22">
        <v>27.324000000000002</v>
      </c>
      <c r="CR17" s="15">
        <f t="shared" si="19"/>
        <v>0.82500000000000018</v>
      </c>
      <c r="CS17" s="8">
        <v>0.94</v>
      </c>
      <c r="CT17" s="8">
        <v>2.13</v>
      </c>
      <c r="CU17" s="8">
        <v>10.53</v>
      </c>
      <c r="CV17" s="8">
        <v>600</v>
      </c>
      <c r="CW17" s="8">
        <v>9.09</v>
      </c>
      <c r="CX17" s="8">
        <v>659.93399999999997</v>
      </c>
      <c r="CY17" s="8">
        <v>8.58</v>
      </c>
      <c r="CZ17" s="8">
        <v>30.888000000000002</v>
      </c>
      <c r="DA17" s="8">
        <v>8.34</v>
      </c>
      <c r="DB17" s="8">
        <v>30.024000000000001</v>
      </c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</row>
    <row r="18" spans="1:129" ht="14.25" customHeight="1" thickBot="1">
      <c r="A18" s="10" t="s">
        <v>175</v>
      </c>
      <c r="B18" s="10">
        <v>17</v>
      </c>
      <c r="C18" s="10" t="s">
        <v>148</v>
      </c>
      <c r="D18" s="10" t="s">
        <v>150</v>
      </c>
      <c r="E18" s="10" t="s">
        <v>153</v>
      </c>
      <c r="F18" s="21">
        <v>36735</v>
      </c>
      <c r="G18" s="12" t="s">
        <v>146</v>
      </c>
      <c r="H18" s="9">
        <v>26</v>
      </c>
      <c r="I18" s="3">
        <v>71</v>
      </c>
      <c r="J18" s="3">
        <v>180.4</v>
      </c>
      <c r="K18" s="3">
        <f t="shared" si="0"/>
        <v>0</v>
      </c>
      <c r="L18" s="13">
        <v>46231</v>
      </c>
      <c r="M18" s="3" t="s">
        <v>147</v>
      </c>
      <c r="N18" s="3">
        <v>1052</v>
      </c>
      <c r="O18" s="3"/>
      <c r="P18" s="3"/>
      <c r="Q18" s="3">
        <v>10.7</v>
      </c>
      <c r="R18" s="3">
        <v>16</v>
      </c>
      <c r="S18" s="3">
        <v>12</v>
      </c>
      <c r="T18" s="3">
        <v>10.6</v>
      </c>
      <c r="U18" s="3">
        <v>19.8</v>
      </c>
      <c r="V18" s="3">
        <v>19.2</v>
      </c>
      <c r="W18" s="3">
        <v>21.3</v>
      </c>
      <c r="X18" s="3">
        <v>19.100000000000001</v>
      </c>
      <c r="Y18" s="2">
        <f t="shared" si="1"/>
        <v>39</v>
      </c>
      <c r="Z18" s="2">
        <f t="shared" si="2"/>
        <v>40.400000000000006</v>
      </c>
      <c r="AA18" s="2">
        <f t="shared" si="3"/>
        <v>0.9653465346534652</v>
      </c>
      <c r="AB18" s="3">
        <v>19</v>
      </c>
      <c r="AC18" s="3">
        <v>20</v>
      </c>
      <c r="AD18" s="3">
        <v>9</v>
      </c>
      <c r="AE18" s="3">
        <v>11</v>
      </c>
      <c r="AF18" s="3">
        <v>38</v>
      </c>
      <c r="AG18" s="2"/>
      <c r="AH18" s="2"/>
      <c r="AI18" s="2"/>
      <c r="AJ18" s="2"/>
      <c r="AK18" s="2"/>
      <c r="AL18" s="2"/>
      <c r="AM18" s="3">
        <v>38.700000000000003</v>
      </c>
      <c r="AN18" s="3">
        <v>1859</v>
      </c>
      <c r="AO18" s="3">
        <v>22154</v>
      </c>
      <c r="AP18" s="3">
        <v>2.42</v>
      </c>
      <c r="AQ18" s="3">
        <v>2461</v>
      </c>
      <c r="AR18" s="3"/>
      <c r="AS18" s="3"/>
      <c r="AT18" s="2"/>
      <c r="AU18" s="3"/>
      <c r="AV18" s="3"/>
      <c r="AW18" s="44">
        <v>12817</v>
      </c>
      <c r="AX18" s="44">
        <v>1456</v>
      </c>
      <c r="AY18" s="44">
        <v>259</v>
      </c>
      <c r="AZ18" s="3">
        <v>6.68</v>
      </c>
      <c r="BA18" s="42">
        <v>8.6999382579999995</v>
      </c>
      <c r="BB18" s="3">
        <v>34.200000000000003</v>
      </c>
      <c r="BC18" s="2"/>
      <c r="BD18" s="3"/>
      <c r="BE18" s="2"/>
      <c r="BF18" s="3"/>
      <c r="BG18" s="2"/>
      <c r="BH18" s="3"/>
      <c r="BI18" s="2"/>
      <c r="BJ18" s="3"/>
      <c r="BK18" s="2"/>
      <c r="BL18" s="3"/>
      <c r="BM18" s="2"/>
      <c r="BN18" s="3"/>
      <c r="BO18" s="2"/>
      <c r="BP18" s="3"/>
      <c r="BQ18" s="2"/>
      <c r="BR18" s="3"/>
      <c r="BS18" s="2"/>
      <c r="BT18" s="3"/>
      <c r="BU18" s="2"/>
      <c r="BV18" s="3"/>
      <c r="BW18" s="2">
        <f t="shared" si="14"/>
        <v>0</v>
      </c>
      <c r="BX18" s="2" t="e">
        <f t="shared" si="15"/>
        <v>#DIV/0!</v>
      </c>
      <c r="BY18" s="2" t="e">
        <f t="shared" si="16"/>
        <v>#DIV/0!</v>
      </c>
      <c r="BZ18" s="2"/>
      <c r="CA18" s="2"/>
      <c r="CB18" s="29"/>
      <c r="CC18" s="29"/>
      <c r="CD18" s="29"/>
      <c r="CE18" s="2"/>
      <c r="CF18" s="2"/>
      <c r="CG18" s="29"/>
      <c r="CH18" s="8" t="s">
        <v>148</v>
      </c>
      <c r="CI18" s="8">
        <v>15</v>
      </c>
      <c r="CJ18" s="8">
        <v>2</v>
      </c>
      <c r="CK18" s="22">
        <v>2.64</v>
      </c>
      <c r="CL18" s="22">
        <v>1.24</v>
      </c>
      <c r="CM18" s="22">
        <v>7.61</v>
      </c>
      <c r="CN18" s="24">
        <v>21.46</v>
      </c>
      <c r="CO18" s="22">
        <v>1502.2</v>
      </c>
      <c r="CP18" s="22">
        <v>7.71</v>
      </c>
      <c r="CQ18" s="22">
        <v>27.756</v>
      </c>
      <c r="CR18" s="15">
        <f t="shared" si="19"/>
        <v>0.81157894736842096</v>
      </c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</row>
    <row r="19" spans="1:129" ht="14.25" customHeight="1" thickBot="1">
      <c r="A19" s="10" t="s">
        <v>176</v>
      </c>
      <c r="B19" s="10">
        <v>28</v>
      </c>
      <c r="C19" s="10" t="s">
        <v>148</v>
      </c>
      <c r="D19" s="10" t="s">
        <v>144</v>
      </c>
      <c r="E19" s="10" t="s">
        <v>171</v>
      </c>
      <c r="F19" s="21">
        <v>38099</v>
      </c>
      <c r="G19" s="12" t="s">
        <v>146</v>
      </c>
      <c r="H19" s="9">
        <v>22</v>
      </c>
      <c r="I19" s="3">
        <v>80</v>
      </c>
      <c r="J19" s="3">
        <v>185</v>
      </c>
      <c r="K19" s="3">
        <f t="shared" si="0"/>
        <v>38</v>
      </c>
      <c r="L19" s="13">
        <v>46199</v>
      </c>
      <c r="M19" s="3" t="s">
        <v>147</v>
      </c>
      <c r="N19" s="3">
        <v>1118</v>
      </c>
      <c r="O19" s="3">
        <v>41.6</v>
      </c>
      <c r="P19" s="3">
        <v>37.9</v>
      </c>
      <c r="Q19" s="3">
        <v>6.9</v>
      </c>
      <c r="R19" s="3">
        <v>10.4</v>
      </c>
      <c r="S19" s="3">
        <v>7.4</v>
      </c>
      <c r="T19" s="3">
        <v>8.8000000000000007</v>
      </c>
      <c r="U19" s="3">
        <v>24.5</v>
      </c>
      <c r="V19" s="3">
        <v>26</v>
      </c>
      <c r="W19" s="3">
        <v>21</v>
      </c>
      <c r="X19" s="3">
        <v>22.4</v>
      </c>
      <c r="Y19" s="2">
        <f t="shared" si="1"/>
        <v>50.5</v>
      </c>
      <c r="Z19" s="2">
        <f t="shared" si="2"/>
        <v>43.4</v>
      </c>
      <c r="AA19" s="2">
        <f t="shared" si="3"/>
        <v>1.163594470046083</v>
      </c>
      <c r="AB19" s="3">
        <v>13</v>
      </c>
      <c r="AC19" s="3">
        <v>14</v>
      </c>
      <c r="AD19" s="3">
        <v>9</v>
      </c>
      <c r="AE19" s="3">
        <v>11</v>
      </c>
      <c r="AF19" s="3">
        <v>36.5</v>
      </c>
      <c r="AG19" s="2"/>
      <c r="AH19" s="2">
        <f t="shared" ref="AH19:AH20" si="22">AG19/I19</f>
        <v>0</v>
      </c>
      <c r="AI19" s="2"/>
      <c r="AJ19" s="2">
        <f t="shared" ref="AJ19:AJ20" si="23">AI19/I19</f>
        <v>0</v>
      </c>
      <c r="AK19" s="2"/>
      <c r="AL19" s="2"/>
      <c r="AM19" s="3">
        <v>43.1</v>
      </c>
      <c r="AN19" s="3">
        <v>1990</v>
      </c>
      <c r="AO19" s="3">
        <v>12722</v>
      </c>
      <c r="AP19" s="3">
        <v>2.65</v>
      </c>
      <c r="AQ19" s="3">
        <v>5652</v>
      </c>
      <c r="AR19" s="3">
        <v>12.1</v>
      </c>
      <c r="AS19" s="3">
        <v>14.9</v>
      </c>
      <c r="AT19" s="2"/>
      <c r="AU19" s="3">
        <v>15.5</v>
      </c>
      <c r="AV19" s="3">
        <v>219</v>
      </c>
      <c r="AW19" s="47">
        <v>10157</v>
      </c>
      <c r="AX19" s="47">
        <v>816</v>
      </c>
      <c r="AY19" s="47">
        <v>48.9</v>
      </c>
      <c r="AZ19" s="3">
        <v>6.37</v>
      </c>
      <c r="BA19" s="42">
        <v>9.2842312289999995</v>
      </c>
      <c r="BB19" s="3">
        <v>32.76</v>
      </c>
      <c r="BC19" s="2"/>
      <c r="BD19" s="3">
        <v>262</v>
      </c>
      <c r="BE19" s="2">
        <f t="shared" ref="BE19:BE65" si="24">BD19/I19</f>
        <v>3.2749999999999999</v>
      </c>
      <c r="BF19" s="3">
        <v>246</v>
      </c>
      <c r="BG19" s="2">
        <f t="shared" ref="BG19:BG72" si="25">BF19/I19</f>
        <v>3.0750000000000002</v>
      </c>
      <c r="BH19" s="3">
        <v>160</v>
      </c>
      <c r="BI19" s="2">
        <f t="shared" ref="BI19:BI72" si="26">BH19/I19</f>
        <v>2</v>
      </c>
      <c r="BJ19" s="3">
        <v>167</v>
      </c>
      <c r="BK19" s="2">
        <f t="shared" ref="BK19:BK83" si="27">BJ19/I19</f>
        <v>2.0874999999999999</v>
      </c>
      <c r="BL19" s="3">
        <v>124</v>
      </c>
      <c r="BM19" s="2">
        <f t="shared" ref="BM19:BM88" si="28">BL19/I19</f>
        <v>1.55</v>
      </c>
      <c r="BN19" s="3">
        <v>125</v>
      </c>
      <c r="BO19" s="2">
        <f t="shared" ref="BO19:BO88" si="29">BN19/I19</f>
        <v>1.5625</v>
      </c>
      <c r="BP19" s="3">
        <v>83</v>
      </c>
      <c r="BQ19" s="2">
        <f t="shared" ref="BQ19:BQ88" si="30">BP19/I19</f>
        <v>1.0375000000000001</v>
      </c>
      <c r="BR19" s="3">
        <v>92</v>
      </c>
      <c r="BS19" s="2">
        <f t="shared" ref="BS19:BS88" si="31">BR19/I19</f>
        <v>1.1499999999999999</v>
      </c>
      <c r="BT19" s="3">
        <v>146</v>
      </c>
      <c r="BU19" s="2">
        <f t="shared" ref="BU19:BU72" si="32">BT19/I19</f>
        <v>1.825</v>
      </c>
      <c r="BV19" s="3">
        <v>144</v>
      </c>
      <c r="BW19" s="2">
        <f t="shared" si="14"/>
        <v>1.8</v>
      </c>
      <c r="BX19" s="2">
        <f t="shared" si="15"/>
        <v>0.91249999999999998</v>
      </c>
      <c r="BY19" s="2">
        <f t="shared" si="16"/>
        <v>0.86227544910179643</v>
      </c>
      <c r="BZ19" s="2">
        <v>4</v>
      </c>
      <c r="CA19" s="2">
        <v>7</v>
      </c>
      <c r="CB19" s="2">
        <v>2.5</v>
      </c>
      <c r="CC19" s="2">
        <v>5.5</v>
      </c>
      <c r="CD19" s="2">
        <v>4.5</v>
      </c>
      <c r="CE19" s="2">
        <v>6</v>
      </c>
      <c r="CF19" s="2">
        <v>5</v>
      </c>
      <c r="CG19" s="2">
        <v>3.5</v>
      </c>
      <c r="CH19" s="2" t="s">
        <v>143</v>
      </c>
      <c r="CI19" s="2">
        <v>15</v>
      </c>
      <c r="CJ19" s="2">
        <v>2</v>
      </c>
      <c r="CK19" s="14">
        <v>2.67</v>
      </c>
      <c r="CL19" s="14">
        <v>1.27</v>
      </c>
      <c r="CM19" s="14">
        <v>7.24</v>
      </c>
      <c r="CN19" s="14">
        <v>19.11</v>
      </c>
      <c r="CO19" s="14">
        <v>1528.8</v>
      </c>
      <c r="CP19" s="14">
        <v>7.63</v>
      </c>
      <c r="CQ19" s="14">
        <v>27.468</v>
      </c>
      <c r="CR19" s="15">
        <f t="shared" si="19"/>
        <v>0.83846153846153859</v>
      </c>
      <c r="CS19" s="2">
        <v>1.01</v>
      </c>
      <c r="CT19" s="2">
        <v>2.27</v>
      </c>
      <c r="CU19" s="2">
        <v>11.5</v>
      </c>
      <c r="CV19" s="2">
        <v>700</v>
      </c>
      <c r="CW19" s="2">
        <v>8.69</v>
      </c>
      <c r="CX19" s="2">
        <v>695.2</v>
      </c>
      <c r="CY19" s="2">
        <v>8.8000000000000007</v>
      </c>
      <c r="CZ19" s="2">
        <v>31.68</v>
      </c>
      <c r="DA19" s="2">
        <v>8.5299999999999994</v>
      </c>
      <c r="DB19" s="2">
        <v>30.707999999999998</v>
      </c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</row>
    <row r="20" spans="1:129" ht="14.25" customHeight="1" thickBot="1">
      <c r="A20" s="19" t="s">
        <v>177</v>
      </c>
      <c r="B20" s="16">
        <v>2</v>
      </c>
      <c r="C20" s="16" t="s">
        <v>148</v>
      </c>
      <c r="D20" s="16" t="s">
        <v>144</v>
      </c>
      <c r="E20" s="16" t="s">
        <v>171</v>
      </c>
      <c r="F20" s="17">
        <v>35576</v>
      </c>
      <c r="G20" s="18" t="s">
        <v>146</v>
      </c>
      <c r="H20" s="19">
        <v>29</v>
      </c>
      <c r="I20" s="3">
        <v>86.1</v>
      </c>
      <c r="J20" s="3">
        <v>189.1</v>
      </c>
      <c r="K20" s="3">
        <f t="shared" si="0"/>
        <v>50</v>
      </c>
      <c r="L20" s="13">
        <v>46198</v>
      </c>
      <c r="M20" s="3" t="s">
        <v>147</v>
      </c>
      <c r="N20" s="3">
        <v>1116</v>
      </c>
      <c r="O20" s="3">
        <v>36.5</v>
      </c>
      <c r="P20" s="3">
        <v>38</v>
      </c>
      <c r="Q20" s="3">
        <v>10.6</v>
      </c>
      <c r="R20" s="3">
        <v>9.1</v>
      </c>
      <c r="S20" s="3">
        <v>8.6999999999999993</v>
      </c>
      <c r="T20" s="3">
        <v>9.6999999999999993</v>
      </c>
      <c r="U20" s="3">
        <v>18.600000000000001</v>
      </c>
      <c r="V20" s="3">
        <v>18.100000000000001</v>
      </c>
      <c r="W20" s="3">
        <v>23.2</v>
      </c>
      <c r="X20" s="3">
        <v>23.9</v>
      </c>
      <c r="Y20" s="2">
        <f t="shared" si="1"/>
        <v>36.700000000000003</v>
      </c>
      <c r="Z20" s="2">
        <f t="shared" si="2"/>
        <v>47.099999999999994</v>
      </c>
      <c r="AA20" s="2">
        <f t="shared" si="3"/>
        <v>0.77919320594479846</v>
      </c>
      <c r="AB20" s="3">
        <v>17</v>
      </c>
      <c r="AC20" s="3">
        <v>19</v>
      </c>
      <c r="AD20" s="3">
        <v>12</v>
      </c>
      <c r="AE20" s="3">
        <v>13</v>
      </c>
      <c r="AF20" s="3">
        <v>24.5</v>
      </c>
      <c r="AG20" s="2"/>
      <c r="AH20" s="2">
        <f t="shared" si="22"/>
        <v>0</v>
      </c>
      <c r="AI20" s="2"/>
      <c r="AJ20" s="2">
        <f t="shared" si="23"/>
        <v>0</v>
      </c>
      <c r="AK20" s="2"/>
      <c r="AL20" s="2"/>
      <c r="AM20" s="3">
        <v>40.5</v>
      </c>
      <c r="AN20" s="3">
        <v>2147.6999999999998</v>
      </c>
      <c r="AO20" s="3">
        <v>11209</v>
      </c>
      <c r="AP20" s="3">
        <v>2.59</v>
      </c>
      <c r="AQ20" s="3">
        <v>4375</v>
      </c>
      <c r="AR20" s="23">
        <v>11.5</v>
      </c>
      <c r="AS20" s="23">
        <v>14.8</v>
      </c>
      <c r="AT20" s="2"/>
      <c r="AU20" s="3">
        <v>15</v>
      </c>
      <c r="AV20" s="2"/>
      <c r="AW20" s="44">
        <v>9755</v>
      </c>
      <c r="AX20" s="44">
        <v>822</v>
      </c>
      <c r="AY20" s="44">
        <v>14.5</v>
      </c>
      <c r="AZ20" s="3">
        <v>6.87</v>
      </c>
      <c r="BA20" s="42">
        <v>9.9158538600000004</v>
      </c>
      <c r="BB20" s="3">
        <v>36.36</v>
      </c>
      <c r="BC20" s="2"/>
      <c r="BD20" s="3">
        <v>221</v>
      </c>
      <c r="BE20" s="2">
        <f t="shared" si="24"/>
        <v>2.5667828106852499</v>
      </c>
      <c r="BF20" s="3">
        <v>306</v>
      </c>
      <c r="BG20" s="2">
        <f t="shared" si="25"/>
        <v>3.5540069686411151</v>
      </c>
      <c r="BH20" s="3">
        <v>188</v>
      </c>
      <c r="BI20" s="2">
        <f t="shared" si="26"/>
        <v>2.1835075493612082</v>
      </c>
      <c r="BJ20" s="3">
        <v>217</v>
      </c>
      <c r="BK20" s="2">
        <f t="shared" si="27"/>
        <v>2.5203252032520327</v>
      </c>
      <c r="BL20" s="3">
        <v>146</v>
      </c>
      <c r="BM20" s="2">
        <f t="shared" si="28"/>
        <v>1.6957026713124275</v>
      </c>
      <c r="BN20" s="3">
        <v>149</v>
      </c>
      <c r="BO20" s="2">
        <f t="shared" si="29"/>
        <v>1.7305458768873405</v>
      </c>
      <c r="BP20" s="3">
        <v>82</v>
      </c>
      <c r="BQ20" s="2">
        <f t="shared" si="30"/>
        <v>0.95238095238095244</v>
      </c>
      <c r="BR20" s="3">
        <v>111</v>
      </c>
      <c r="BS20" s="2">
        <f t="shared" si="31"/>
        <v>1.2891986062717771</v>
      </c>
      <c r="BT20" s="3">
        <v>185</v>
      </c>
      <c r="BU20" s="2">
        <f t="shared" si="32"/>
        <v>2.1486643437862951</v>
      </c>
      <c r="BV20" s="3">
        <v>168</v>
      </c>
      <c r="BW20" s="2">
        <f t="shared" si="14"/>
        <v>1.9512195121951221</v>
      </c>
      <c r="BX20" s="2">
        <f t="shared" si="15"/>
        <v>0.98404255319148937</v>
      </c>
      <c r="BY20" s="2">
        <f t="shared" si="16"/>
        <v>0.77419354838709675</v>
      </c>
      <c r="BZ20" s="2">
        <v>4.5</v>
      </c>
      <c r="CA20" s="2">
        <v>8.5</v>
      </c>
      <c r="CB20" s="2">
        <v>2</v>
      </c>
      <c r="CC20" s="2">
        <v>11</v>
      </c>
      <c r="CD20" s="2">
        <v>5</v>
      </c>
      <c r="CE20" s="2">
        <v>8</v>
      </c>
      <c r="CF20" s="2">
        <v>6.5</v>
      </c>
      <c r="CG20" s="2">
        <v>4.5</v>
      </c>
      <c r="CH20" s="2"/>
      <c r="CI20" s="2"/>
      <c r="CJ20" s="2"/>
      <c r="CK20" s="14"/>
      <c r="CL20" s="14"/>
      <c r="CM20" s="14"/>
      <c r="CN20" s="14"/>
      <c r="CO20" s="14"/>
      <c r="CP20" s="14"/>
      <c r="CQ20" s="14"/>
      <c r="CR20" s="15">
        <f t="shared" si="19"/>
        <v>0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</row>
    <row r="21" spans="1:129" ht="14.25" customHeight="1" thickBot="1">
      <c r="A21" s="9" t="s">
        <v>178</v>
      </c>
      <c r="B21" s="10">
        <v>12</v>
      </c>
      <c r="C21" s="16" t="s">
        <v>148</v>
      </c>
      <c r="D21" s="16" t="s">
        <v>167</v>
      </c>
      <c r="E21" s="16" t="s">
        <v>168</v>
      </c>
      <c r="F21" s="27">
        <v>37335</v>
      </c>
      <c r="G21" s="18" t="s">
        <v>146</v>
      </c>
      <c r="H21" s="19">
        <v>24</v>
      </c>
      <c r="I21" s="3">
        <v>90.5</v>
      </c>
      <c r="J21" s="3">
        <v>197</v>
      </c>
      <c r="K21" s="3">
        <f t="shared" si="0"/>
        <v>53</v>
      </c>
      <c r="L21" s="13">
        <v>46210</v>
      </c>
      <c r="M21" s="3" t="s">
        <v>147</v>
      </c>
      <c r="N21" s="3">
        <v>1387</v>
      </c>
      <c r="O21" s="3">
        <v>39</v>
      </c>
      <c r="P21" s="3">
        <v>39</v>
      </c>
      <c r="Q21" s="3">
        <v>9.9</v>
      </c>
      <c r="R21" s="3">
        <v>10.8</v>
      </c>
      <c r="S21" s="3">
        <v>8.6</v>
      </c>
      <c r="T21" s="3">
        <v>10.8</v>
      </c>
      <c r="U21" s="3">
        <v>24.8</v>
      </c>
      <c r="V21" s="3">
        <v>26.3</v>
      </c>
      <c r="W21" s="3">
        <v>27.1</v>
      </c>
      <c r="X21" s="3">
        <v>26.1</v>
      </c>
      <c r="Y21" s="2">
        <f t="shared" si="1"/>
        <v>51.1</v>
      </c>
      <c r="Z21" s="2">
        <f t="shared" si="2"/>
        <v>53.2</v>
      </c>
      <c r="AA21" s="2">
        <f t="shared" si="3"/>
        <v>0.96052631578947367</v>
      </c>
      <c r="AB21" s="3">
        <v>18</v>
      </c>
      <c r="AC21" s="3">
        <v>20</v>
      </c>
      <c r="AD21" s="3">
        <v>11</v>
      </c>
      <c r="AE21" s="3">
        <v>10.5</v>
      </c>
      <c r="AF21" s="3">
        <v>35.5</v>
      </c>
      <c r="AG21" s="2"/>
      <c r="AH21" s="2"/>
      <c r="AI21" s="2"/>
      <c r="AJ21" s="2"/>
      <c r="AK21" s="2"/>
      <c r="AL21" s="2"/>
      <c r="AM21" s="3">
        <v>40.9</v>
      </c>
      <c r="AN21" s="3">
        <f>222.9*9.81</f>
        <v>2186.6490000000003</v>
      </c>
      <c r="AO21" s="3">
        <f>1018*9.81</f>
        <v>9986.58</v>
      </c>
      <c r="AP21" s="3">
        <v>2</v>
      </c>
      <c r="AQ21" s="3">
        <v>4219</v>
      </c>
      <c r="AR21" s="23">
        <v>11.4</v>
      </c>
      <c r="AS21" s="23">
        <v>14.7</v>
      </c>
      <c r="AT21" s="2"/>
      <c r="AU21" s="3"/>
      <c r="AV21" s="3"/>
      <c r="AW21" s="45">
        <v>5212</v>
      </c>
      <c r="AX21" s="45">
        <v>56</v>
      </c>
      <c r="AY21" s="45">
        <v>2.2999999999999998</v>
      </c>
      <c r="AZ21" s="3">
        <v>7.56</v>
      </c>
      <c r="BA21" s="43">
        <v>8.0727880370000005</v>
      </c>
      <c r="BB21" s="2"/>
      <c r="BC21" s="2"/>
      <c r="BD21" s="3">
        <v>287</v>
      </c>
      <c r="BE21" s="2">
        <f t="shared" si="24"/>
        <v>3.1712707182320443</v>
      </c>
      <c r="BF21" s="3">
        <v>304</v>
      </c>
      <c r="BG21" s="2">
        <f t="shared" si="25"/>
        <v>3.3591160220994474</v>
      </c>
      <c r="BH21" s="3">
        <v>207</v>
      </c>
      <c r="BI21" s="2">
        <f t="shared" si="26"/>
        <v>2.2872928176795582</v>
      </c>
      <c r="BJ21" s="3">
        <v>215</v>
      </c>
      <c r="BK21" s="2">
        <f t="shared" si="27"/>
        <v>2.3756906077348066</v>
      </c>
      <c r="BL21" s="3">
        <v>165</v>
      </c>
      <c r="BM21" s="2">
        <f t="shared" si="28"/>
        <v>1.8232044198895028</v>
      </c>
      <c r="BN21" s="3">
        <v>189</v>
      </c>
      <c r="BO21" s="2">
        <f t="shared" si="29"/>
        <v>2.0883977900552488</v>
      </c>
      <c r="BP21" s="3">
        <v>180</v>
      </c>
      <c r="BQ21" s="2">
        <f t="shared" si="30"/>
        <v>1.988950276243094</v>
      </c>
      <c r="BR21" s="3">
        <v>181</v>
      </c>
      <c r="BS21" s="2">
        <f t="shared" si="31"/>
        <v>2</v>
      </c>
      <c r="BT21" s="3">
        <v>172</v>
      </c>
      <c r="BU21" s="2">
        <f t="shared" si="32"/>
        <v>1.9005524861878453</v>
      </c>
      <c r="BV21" s="3">
        <v>227</v>
      </c>
      <c r="BW21" s="2">
        <f t="shared" si="14"/>
        <v>2.5082872928176796</v>
      </c>
      <c r="BX21" s="2">
        <f t="shared" si="15"/>
        <v>0.83091787439613529</v>
      </c>
      <c r="BY21" s="2">
        <f t="shared" si="16"/>
        <v>1.0558139534883721</v>
      </c>
      <c r="BZ21" s="2">
        <v>4</v>
      </c>
      <c r="CA21" s="2">
        <v>7</v>
      </c>
      <c r="CB21" s="2">
        <v>2.5</v>
      </c>
      <c r="CC21" s="2">
        <v>7.5</v>
      </c>
      <c r="CD21" s="2">
        <v>5.5</v>
      </c>
      <c r="CE21" s="2">
        <v>9</v>
      </c>
      <c r="CF21" s="2">
        <v>13</v>
      </c>
      <c r="CG21" s="2">
        <v>4.5</v>
      </c>
      <c r="CH21" s="2"/>
      <c r="CI21" s="2"/>
      <c r="CJ21" s="2"/>
      <c r="CK21" s="14"/>
      <c r="CL21" s="14"/>
      <c r="CM21" s="14"/>
      <c r="CN21" s="14"/>
      <c r="CO21" s="14"/>
      <c r="CP21" s="14"/>
      <c r="CQ21" s="14"/>
      <c r="CR21" s="15" t="e">
        <f t="shared" si="19"/>
        <v>#DIV/0!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</row>
    <row r="22" spans="1:129" ht="14.25" customHeight="1" thickBot="1">
      <c r="A22" s="9" t="s">
        <v>179</v>
      </c>
      <c r="B22" s="10">
        <v>5</v>
      </c>
      <c r="C22" s="10" t="s">
        <v>148</v>
      </c>
      <c r="D22" s="10" t="s">
        <v>159</v>
      </c>
      <c r="E22" s="10" t="s">
        <v>164</v>
      </c>
      <c r="F22" s="21">
        <v>39197</v>
      </c>
      <c r="G22" s="12" t="s">
        <v>146</v>
      </c>
      <c r="H22" s="9">
        <v>19</v>
      </c>
      <c r="I22" s="3">
        <v>69.8</v>
      </c>
      <c r="J22" s="3">
        <v>183</v>
      </c>
      <c r="K22" s="30">
        <f t="shared" si="0"/>
        <v>0</v>
      </c>
      <c r="L22" s="13">
        <v>46219</v>
      </c>
      <c r="M22" s="3" t="s">
        <v>147</v>
      </c>
      <c r="N22" s="3">
        <v>845</v>
      </c>
      <c r="O22" s="3">
        <v>22.5</v>
      </c>
      <c r="P22" s="3">
        <v>27.1</v>
      </c>
      <c r="Q22" s="3">
        <v>7</v>
      </c>
      <c r="R22" s="3">
        <v>5.5</v>
      </c>
      <c r="S22" s="3">
        <v>7.9</v>
      </c>
      <c r="T22" s="3">
        <v>8.1</v>
      </c>
      <c r="U22" s="3">
        <v>22.1</v>
      </c>
      <c r="V22" s="3">
        <v>26</v>
      </c>
      <c r="W22" s="3">
        <v>17.8</v>
      </c>
      <c r="X22" s="3">
        <v>19.7</v>
      </c>
      <c r="Y22" s="2">
        <f t="shared" si="1"/>
        <v>48.1</v>
      </c>
      <c r="Z22" s="2">
        <f t="shared" si="2"/>
        <v>37.5</v>
      </c>
      <c r="AA22" s="2">
        <f t="shared" si="3"/>
        <v>1.2826666666666666</v>
      </c>
      <c r="AB22" s="3">
        <v>14</v>
      </c>
      <c r="AC22" s="3">
        <v>11</v>
      </c>
      <c r="AD22" s="3">
        <v>9</v>
      </c>
      <c r="AE22" s="3">
        <v>11</v>
      </c>
      <c r="AF22" s="3">
        <v>23.5</v>
      </c>
      <c r="AG22" s="2"/>
      <c r="AH22" s="2"/>
      <c r="AI22" s="2"/>
      <c r="AJ22" s="2"/>
      <c r="AK22" s="2"/>
      <c r="AL22" s="2"/>
      <c r="AM22" s="3">
        <v>36.4</v>
      </c>
      <c r="AN22" s="3">
        <v>1568</v>
      </c>
      <c r="AO22" s="3">
        <v>5279</v>
      </c>
      <c r="AP22" s="3">
        <v>2.13</v>
      </c>
      <c r="AQ22" s="3">
        <v>3036</v>
      </c>
      <c r="AR22" s="3">
        <v>11.8</v>
      </c>
      <c r="AS22" s="3">
        <v>14.7</v>
      </c>
      <c r="AT22" s="2"/>
      <c r="AU22" s="3">
        <v>16.5</v>
      </c>
      <c r="AV22" s="3"/>
      <c r="AW22" s="46">
        <v>11522</v>
      </c>
      <c r="AX22" s="46">
        <v>934</v>
      </c>
      <c r="AY22" s="46">
        <v>40.799999999999997</v>
      </c>
      <c r="AZ22" s="3">
        <v>6.57</v>
      </c>
      <c r="BA22" s="43">
        <v>8.1945947009999998</v>
      </c>
      <c r="BB22" s="2"/>
      <c r="BC22" s="2"/>
      <c r="BD22" s="3">
        <v>227</v>
      </c>
      <c r="BE22" s="2">
        <f t="shared" si="24"/>
        <v>3.2521489971346704</v>
      </c>
      <c r="BF22" s="3">
        <v>242.3</v>
      </c>
      <c r="BG22" s="2">
        <f t="shared" si="25"/>
        <v>3.4713467048710607</v>
      </c>
      <c r="BH22" s="3">
        <v>126.6</v>
      </c>
      <c r="BI22" s="2">
        <f t="shared" si="26"/>
        <v>1.813753581661891</v>
      </c>
      <c r="BJ22" s="3">
        <v>148.69999999999999</v>
      </c>
      <c r="BK22" s="2">
        <f t="shared" si="27"/>
        <v>2.1303724928366763</v>
      </c>
      <c r="BL22" s="3">
        <v>101.7</v>
      </c>
      <c r="BM22" s="2">
        <f t="shared" si="28"/>
        <v>1.4570200573065903</v>
      </c>
      <c r="BN22" s="3">
        <v>86.2</v>
      </c>
      <c r="BO22" s="2">
        <f t="shared" si="29"/>
        <v>1.2349570200573068</v>
      </c>
      <c r="BP22" s="3">
        <v>84.6</v>
      </c>
      <c r="BQ22" s="2">
        <f t="shared" si="30"/>
        <v>1.2120343839541547</v>
      </c>
      <c r="BR22" s="3">
        <v>96.7</v>
      </c>
      <c r="BS22" s="2">
        <f t="shared" si="31"/>
        <v>1.3853868194842407</v>
      </c>
      <c r="BT22" s="3">
        <v>196.7</v>
      </c>
      <c r="BU22" s="2">
        <f t="shared" si="32"/>
        <v>2.8180515759312321</v>
      </c>
      <c r="BV22" s="3">
        <v>168.9</v>
      </c>
      <c r="BW22" s="2">
        <f t="shared" si="14"/>
        <v>2.4197707736389686</v>
      </c>
      <c r="BX22" s="2">
        <f t="shared" si="15"/>
        <v>1.5537124802527646</v>
      </c>
      <c r="BY22" s="2">
        <f t="shared" si="16"/>
        <v>1.1358439811701413</v>
      </c>
      <c r="BZ22" s="29"/>
      <c r="CA22" s="2"/>
      <c r="CB22" s="2"/>
      <c r="CC22" s="2"/>
      <c r="CD22" s="2"/>
      <c r="CE22" s="2"/>
      <c r="CF22" s="2"/>
      <c r="CG22" s="2"/>
      <c r="CH22" s="8" t="s">
        <v>143</v>
      </c>
      <c r="CI22" s="8">
        <v>15</v>
      </c>
      <c r="CJ22" s="8">
        <v>2</v>
      </c>
      <c r="CK22" s="22">
        <v>2.5099999999999998</v>
      </c>
      <c r="CL22" s="22">
        <v>1.1499999999999999</v>
      </c>
      <c r="CM22" s="22">
        <v>8.65</v>
      </c>
      <c r="CN22" s="22">
        <v>22.24</v>
      </c>
      <c r="CO22" s="22">
        <v>1556.8</v>
      </c>
      <c r="CP22" s="22">
        <v>7.89</v>
      </c>
      <c r="CQ22" s="22">
        <v>28.404</v>
      </c>
      <c r="CR22" s="15" t="e">
        <f t="shared" si="19"/>
        <v>#DIV/0!</v>
      </c>
      <c r="CS22" s="8">
        <v>0.9</v>
      </c>
      <c r="CT22" s="8">
        <v>2.02</v>
      </c>
      <c r="CU22" s="8">
        <v>10.41</v>
      </c>
      <c r="CV22" s="8">
        <v>607</v>
      </c>
      <c r="CW22" s="8">
        <v>9.9499999999999993</v>
      </c>
      <c r="CX22" s="8">
        <v>696.5</v>
      </c>
      <c r="CY22" s="8">
        <v>8.94</v>
      </c>
      <c r="CZ22" s="8">
        <v>32.183999999999997</v>
      </c>
      <c r="DA22" s="8">
        <v>8.68</v>
      </c>
      <c r="DB22" s="8">
        <v>31.248000000000001</v>
      </c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</row>
    <row r="23" spans="1:129" ht="14.25" customHeight="1" thickBot="1">
      <c r="A23" s="9" t="s">
        <v>180</v>
      </c>
      <c r="B23" s="10">
        <v>30</v>
      </c>
      <c r="C23" s="10" t="s">
        <v>148</v>
      </c>
      <c r="D23" s="10" t="s">
        <v>159</v>
      </c>
      <c r="E23" s="10" t="s">
        <v>173</v>
      </c>
      <c r="F23" s="21">
        <v>37888</v>
      </c>
      <c r="G23" s="12" t="s">
        <v>146</v>
      </c>
      <c r="H23" s="9">
        <v>22</v>
      </c>
      <c r="I23" s="3">
        <v>80.7</v>
      </c>
      <c r="J23" s="3">
        <v>186.5</v>
      </c>
      <c r="K23" s="3">
        <f t="shared" si="0"/>
        <v>54.5</v>
      </c>
      <c r="L23" s="13">
        <v>46199</v>
      </c>
      <c r="M23" s="3" t="s">
        <v>147</v>
      </c>
      <c r="N23" s="3">
        <v>1456</v>
      </c>
      <c r="O23" s="3">
        <v>42.7</v>
      </c>
      <c r="P23" s="3">
        <v>29.3</v>
      </c>
      <c r="Q23" s="3">
        <v>5.4</v>
      </c>
      <c r="R23" s="3">
        <v>5.7</v>
      </c>
      <c r="S23" s="3">
        <v>10.7</v>
      </c>
      <c r="T23" s="3">
        <v>8.8000000000000007</v>
      </c>
      <c r="U23" s="3">
        <v>23.9</v>
      </c>
      <c r="V23" s="3">
        <v>24.2</v>
      </c>
      <c r="W23" s="3">
        <v>30.7</v>
      </c>
      <c r="X23" s="3">
        <v>31.1</v>
      </c>
      <c r="Y23" s="2">
        <f t="shared" si="1"/>
        <v>48.099999999999994</v>
      </c>
      <c r="Z23" s="2">
        <f t="shared" si="2"/>
        <v>61.8</v>
      </c>
      <c r="AA23" s="2">
        <f t="shared" si="3"/>
        <v>0.77831715210355978</v>
      </c>
      <c r="AB23" s="3">
        <v>15</v>
      </c>
      <c r="AC23" s="3">
        <v>15</v>
      </c>
      <c r="AD23" s="3">
        <v>11</v>
      </c>
      <c r="AE23" s="3">
        <v>12</v>
      </c>
      <c r="AF23" s="3">
        <v>16.5</v>
      </c>
      <c r="AG23" s="2"/>
      <c r="AH23" s="2">
        <f t="shared" ref="AH23:AH25" si="33">AG23/I23</f>
        <v>0</v>
      </c>
      <c r="AI23" s="2"/>
      <c r="AJ23" s="2">
        <f t="shared" ref="AJ23:AJ25" si="34">AI23/I23</f>
        <v>0</v>
      </c>
      <c r="AK23" s="2"/>
      <c r="AL23" s="2"/>
      <c r="AM23" s="3">
        <v>39.799999999999997</v>
      </c>
      <c r="AN23" s="3">
        <v>2312</v>
      </c>
      <c r="AO23" s="3">
        <v>13628</v>
      </c>
      <c r="AP23" s="3">
        <v>2.41</v>
      </c>
      <c r="AQ23" s="3">
        <v>5200</v>
      </c>
      <c r="AR23" s="3">
        <v>13.3</v>
      </c>
      <c r="AS23" s="3">
        <v>16.7</v>
      </c>
      <c r="AT23" s="2"/>
      <c r="AU23" s="3">
        <v>16.5</v>
      </c>
      <c r="AV23" s="3">
        <v>206</v>
      </c>
      <c r="AW23" s="47">
        <v>11293</v>
      </c>
      <c r="AX23" s="47">
        <v>688</v>
      </c>
      <c r="AY23" s="47">
        <v>2.6</v>
      </c>
      <c r="AZ23" s="3">
        <v>5.66</v>
      </c>
      <c r="BA23" s="42">
        <v>9.2516434689999993</v>
      </c>
      <c r="BB23" s="3">
        <v>34.200000000000003</v>
      </c>
      <c r="BC23" s="2"/>
      <c r="BD23" s="3">
        <v>281</v>
      </c>
      <c r="BE23" s="2">
        <f t="shared" si="24"/>
        <v>3.4820322180916974</v>
      </c>
      <c r="BF23" s="3">
        <v>305</v>
      </c>
      <c r="BG23" s="2">
        <f t="shared" si="25"/>
        <v>3.7794299876084261</v>
      </c>
      <c r="BH23" s="3">
        <v>156</v>
      </c>
      <c r="BI23" s="2">
        <f t="shared" si="26"/>
        <v>1.9330855018587361</v>
      </c>
      <c r="BJ23" s="3">
        <v>180</v>
      </c>
      <c r="BK23" s="2">
        <f t="shared" si="27"/>
        <v>2.2304832713754648</v>
      </c>
      <c r="BL23" s="3">
        <v>173</v>
      </c>
      <c r="BM23" s="2">
        <f t="shared" si="28"/>
        <v>2.1437422552664187</v>
      </c>
      <c r="BN23" s="3">
        <v>162</v>
      </c>
      <c r="BO23" s="2">
        <f t="shared" si="29"/>
        <v>2.007434944237918</v>
      </c>
      <c r="BP23" s="3">
        <v>116</v>
      </c>
      <c r="BQ23" s="2">
        <f t="shared" si="30"/>
        <v>1.4374225526641884</v>
      </c>
      <c r="BR23" s="3">
        <v>158</v>
      </c>
      <c r="BS23" s="2">
        <f t="shared" si="31"/>
        <v>1.9578686493184634</v>
      </c>
      <c r="BT23" s="3">
        <v>215</v>
      </c>
      <c r="BU23" s="2">
        <f t="shared" si="32"/>
        <v>2.6641883519206937</v>
      </c>
      <c r="BV23" s="3">
        <v>234</v>
      </c>
      <c r="BW23" s="2">
        <f t="shared" si="14"/>
        <v>2.8996282527881041</v>
      </c>
      <c r="BX23" s="2">
        <f t="shared" si="15"/>
        <v>1.3782051282051282</v>
      </c>
      <c r="BY23" s="2">
        <f t="shared" si="16"/>
        <v>1.3</v>
      </c>
      <c r="BZ23" s="2">
        <v>6.5</v>
      </c>
      <c r="CA23" s="2">
        <v>9</v>
      </c>
      <c r="CB23" s="2">
        <v>2</v>
      </c>
      <c r="CC23" s="2">
        <v>11</v>
      </c>
      <c r="CD23" s="2">
        <v>5</v>
      </c>
      <c r="CE23" s="2">
        <v>8</v>
      </c>
      <c r="CF23" s="2">
        <v>9</v>
      </c>
      <c r="CG23" s="2">
        <v>4</v>
      </c>
      <c r="CH23" s="8" t="s">
        <v>148</v>
      </c>
      <c r="CI23" s="8">
        <v>15</v>
      </c>
      <c r="CJ23" s="8">
        <v>2</v>
      </c>
      <c r="CK23" s="22">
        <v>2.67</v>
      </c>
      <c r="CL23" s="22">
        <v>1.23</v>
      </c>
      <c r="CM23" s="22">
        <v>7.84</v>
      </c>
      <c r="CN23" s="22">
        <v>18.32</v>
      </c>
      <c r="CO23" s="22">
        <v>1483.92</v>
      </c>
      <c r="CP23" s="22">
        <v>7.55</v>
      </c>
      <c r="CQ23" s="22">
        <v>27.18</v>
      </c>
      <c r="CR23" s="15">
        <f t="shared" si="19"/>
        <v>0.79473684210526319</v>
      </c>
      <c r="CS23" s="8">
        <v>1.01</v>
      </c>
      <c r="CT23" s="8">
        <v>2.2599999999999998</v>
      </c>
      <c r="CU23" s="8">
        <v>11.2</v>
      </c>
      <c r="CV23" s="8">
        <v>659</v>
      </c>
      <c r="CW23" s="8">
        <v>8.52</v>
      </c>
      <c r="CX23" s="8">
        <v>690.12</v>
      </c>
      <c r="CY23" s="8">
        <v>8.6</v>
      </c>
      <c r="CZ23" s="8">
        <v>30.96</v>
      </c>
      <c r="DA23" s="8">
        <v>8.34</v>
      </c>
      <c r="DB23" s="8">
        <v>30.024000000000001</v>
      </c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</row>
    <row r="24" spans="1:129" ht="14.25" customHeight="1" thickBot="1">
      <c r="A24" s="9" t="s">
        <v>181</v>
      </c>
      <c r="B24" s="10">
        <v>16</v>
      </c>
      <c r="C24" s="16" t="s">
        <v>143</v>
      </c>
      <c r="D24" s="16" t="s">
        <v>167</v>
      </c>
      <c r="E24" s="16" t="s">
        <v>168</v>
      </c>
      <c r="F24" s="27">
        <v>33541</v>
      </c>
      <c r="G24" s="18" t="s">
        <v>146</v>
      </c>
      <c r="H24" s="19">
        <v>34</v>
      </c>
      <c r="I24" s="3">
        <v>82</v>
      </c>
      <c r="J24" s="3">
        <v>186.5</v>
      </c>
      <c r="K24" s="3">
        <f t="shared" si="0"/>
        <v>54.5</v>
      </c>
      <c r="L24" s="13">
        <v>46199</v>
      </c>
      <c r="M24" s="3" t="s">
        <v>147</v>
      </c>
      <c r="N24" s="3">
        <v>1107</v>
      </c>
      <c r="O24" s="3">
        <v>27.9</v>
      </c>
      <c r="P24" s="3">
        <v>26.7</v>
      </c>
      <c r="Q24" s="3">
        <v>12.4</v>
      </c>
      <c r="R24" s="3">
        <v>10.5</v>
      </c>
      <c r="S24" s="3">
        <v>11.7</v>
      </c>
      <c r="T24" s="3">
        <v>8.8000000000000007</v>
      </c>
      <c r="U24" s="3">
        <v>31.3</v>
      </c>
      <c r="V24" s="3">
        <v>32.200000000000003</v>
      </c>
      <c r="W24" s="3">
        <v>25.9</v>
      </c>
      <c r="X24" s="3">
        <v>24.2</v>
      </c>
      <c r="Y24" s="2">
        <f t="shared" si="1"/>
        <v>63.5</v>
      </c>
      <c r="Z24" s="2">
        <f t="shared" si="2"/>
        <v>50.099999999999994</v>
      </c>
      <c r="AA24" s="2">
        <f t="shared" si="3"/>
        <v>1.2674650698602796</v>
      </c>
      <c r="AB24" s="3">
        <v>16</v>
      </c>
      <c r="AC24" s="3">
        <v>15</v>
      </c>
      <c r="AD24" s="3">
        <v>9</v>
      </c>
      <c r="AE24" s="3">
        <v>9</v>
      </c>
      <c r="AF24" s="3">
        <v>20</v>
      </c>
      <c r="AG24" s="2"/>
      <c r="AH24" s="2">
        <f t="shared" si="33"/>
        <v>0</v>
      </c>
      <c r="AI24" s="2"/>
      <c r="AJ24" s="2">
        <f t="shared" si="34"/>
        <v>0</v>
      </c>
      <c r="AK24" s="2"/>
      <c r="AL24" s="2"/>
      <c r="AM24" s="3">
        <v>35.700000000000003</v>
      </c>
      <c r="AN24" s="3">
        <v>2200</v>
      </c>
      <c r="AO24" s="3">
        <v>12458</v>
      </c>
      <c r="AP24" s="3">
        <v>2.2200000000000002</v>
      </c>
      <c r="AQ24" s="3">
        <v>4071</v>
      </c>
      <c r="AR24" s="3">
        <v>11.5</v>
      </c>
      <c r="AS24" s="3">
        <v>15.3</v>
      </c>
      <c r="AT24" s="2"/>
      <c r="AU24" s="3">
        <v>16</v>
      </c>
      <c r="AV24" s="3">
        <v>221</v>
      </c>
      <c r="AW24" s="46">
        <v>5212</v>
      </c>
      <c r="AX24" s="46">
        <v>56</v>
      </c>
      <c r="AY24" s="46">
        <v>2.2999999999999998</v>
      </c>
      <c r="AZ24" s="3">
        <v>6.62</v>
      </c>
      <c r="BA24" s="43">
        <v>8.3695711280000005</v>
      </c>
      <c r="BB24" s="2"/>
      <c r="BC24" s="2"/>
      <c r="BD24" s="3">
        <v>226</v>
      </c>
      <c r="BE24" s="2">
        <f t="shared" si="24"/>
        <v>2.7560975609756095</v>
      </c>
      <c r="BF24" s="3">
        <v>209</v>
      </c>
      <c r="BG24" s="2">
        <f t="shared" si="25"/>
        <v>2.5487804878048781</v>
      </c>
      <c r="BH24" s="3">
        <v>161</v>
      </c>
      <c r="BI24" s="2">
        <f t="shared" si="26"/>
        <v>1.9634146341463414</v>
      </c>
      <c r="BJ24" s="3">
        <v>162</v>
      </c>
      <c r="BK24" s="2">
        <f t="shared" si="27"/>
        <v>1.975609756097561</v>
      </c>
      <c r="BL24" s="3">
        <v>144</v>
      </c>
      <c r="BM24" s="2">
        <f t="shared" si="28"/>
        <v>1.7560975609756098</v>
      </c>
      <c r="BN24" s="3">
        <v>148</v>
      </c>
      <c r="BO24" s="2">
        <f t="shared" si="29"/>
        <v>1.8048780487804879</v>
      </c>
      <c r="BP24" s="3">
        <v>111</v>
      </c>
      <c r="BQ24" s="2">
        <f t="shared" si="30"/>
        <v>1.3536585365853659</v>
      </c>
      <c r="BR24" s="3">
        <v>129</v>
      </c>
      <c r="BS24" s="2">
        <f t="shared" si="31"/>
        <v>1.5731707317073171</v>
      </c>
      <c r="BT24" s="3">
        <v>178</v>
      </c>
      <c r="BU24" s="2">
        <f t="shared" si="32"/>
        <v>2.1707317073170733</v>
      </c>
      <c r="BV24" s="3">
        <v>199</v>
      </c>
      <c r="BW24" s="2">
        <f t="shared" si="14"/>
        <v>2.4268292682926829</v>
      </c>
      <c r="BX24" s="2">
        <f t="shared" si="15"/>
        <v>1.1055900621118013</v>
      </c>
      <c r="BY24" s="2">
        <f t="shared" si="16"/>
        <v>1.228395061728395</v>
      </c>
      <c r="BZ24" s="2">
        <v>5.5</v>
      </c>
      <c r="CA24" s="2">
        <v>6</v>
      </c>
      <c r="CB24" s="2">
        <v>2</v>
      </c>
      <c r="CC24" s="2">
        <v>14</v>
      </c>
      <c r="CD24" s="2">
        <v>7.5</v>
      </c>
      <c r="CE24" s="2">
        <v>11</v>
      </c>
      <c r="CF24" s="2">
        <v>6</v>
      </c>
      <c r="CG24" s="2">
        <v>2.5</v>
      </c>
      <c r="CH24" s="2"/>
      <c r="CI24" s="2"/>
      <c r="CJ24" s="2"/>
      <c r="CK24" s="14"/>
      <c r="CL24" s="14"/>
      <c r="CM24" s="14"/>
      <c r="CN24" s="14"/>
      <c r="CO24" s="14"/>
      <c r="CP24" s="14"/>
      <c r="CQ24" s="14"/>
      <c r="CR24" s="15" t="e">
        <f t="shared" si="19"/>
        <v>#DIV/0!</v>
      </c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</row>
    <row r="25" spans="1:129" ht="14.25" customHeight="1" thickBot="1">
      <c r="A25" s="19" t="s">
        <v>182</v>
      </c>
      <c r="B25" s="16">
        <v>19</v>
      </c>
      <c r="C25" s="10" t="s">
        <v>148</v>
      </c>
      <c r="D25" s="10" t="s">
        <v>150</v>
      </c>
      <c r="E25" s="10" t="s">
        <v>151</v>
      </c>
      <c r="F25" s="21">
        <v>35181</v>
      </c>
      <c r="G25" s="12" t="s">
        <v>146</v>
      </c>
      <c r="H25" s="9">
        <v>30</v>
      </c>
      <c r="I25" s="3">
        <v>90.3</v>
      </c>
      <c r="J25" s="3">
        <v>191.8</v>
      </c>
      <c r="K25" s="3">
        <f t="shared" si="0"/>
        <v>46</v>
      </c>
      <c r="L25" s="13">
        <v>46199</v>
      </c>
      <c r="M25" s="3" t="s">
        <v>147</v>
      </c>
      <c r="N25" s="3">
        <v>1302</v>
      </c>
      <c r="O25" s="3">
        <v>37.5</v>
      </c>
      <c r="P25" s="3">
        <v>35.6</v>
      </c>
      <c r="Q25" s="3">
        <v>10.4</v>
      </c>
      <c r="R25" s="3">
        <v>14.4</v>
      </c>
      <c r="S25" s="3">
        <v>13.7</v>
      </c>
      <c r="T25" s="3">
        <v>13</v>
      </c>
      <c r="U25" s="3">
        <v>32.200000000000003</v>
      </c>
      <c r="V25" s="3">
        <v>35.5</v>
      </c>
      <c r="W25" s="3">
        <v>26.9</v>
      </c>
      <c r="X25" s="3">
        <v>29.3</v>
      </c>
      <c r="Y25" s="2">
        <f t="shared" si="1"/>
        <v>67.7</v>
      </c>
      <c r="Z25" s="2">
        <f t="shared" si="2"/>
        <v>56.2</v>
      </c>
      <c r="AA25" s="2">
        <f t="shared" si="3"/>
        <v>1.2046263345195729</v>
      </c>
      <c r="AB25" s="3">
        <v>16</v>
      </c>
      <c r="AC25" s="3">
        <v>15</v>
      </c>
      <c r="AD25" s="3">
        <v>14</v>
      </c>
      <c r="AE25" s="3">
        <v>11</v>
      </c>
      <c r="AF25" s="3">
        <v>26.5</v>
      </c>
      <c r="AG25" s="2"/>
      <c r="AH25" s="2">
        <f t="shared" si="33"/>
        <v>0</v>
      </c>
      <c r="AI25" s="2"/>
      <c r="AJ25" s="2">
        <f t="shared" si="34"/>
        <v>0</v>
      </c>
      <c r="AK25" s="2"/>
      <c r="AL25" s="2"/>
      <c r="AM25" s="3">
        <v>33</v>
      </c>
      <c r="AN25" s="3">
        <v>2296</v>
      </c>
      <c r="AO25" s="3">
        <v>12668</v>
      </c>
      <c r="AP25" s="3">
        <v>1.89</v>
      </c>
      <c r="AQ25" s="3">
        <v>6799</v>
      </c>
      <c r="AR25" s="3">
        <v>12.3</v>
      </c>
      <c r="AS25" s="3">
        <v>15.6</v>
      </c>
      <c r="AT25" s="2"/>
      <c r="AU25" s="3">
        <v>16</v>
      </c>
      <c r="AV25" s="3">
        <v>222</v>
      </c>
      <c r="AW25" s="45">
        <v>11005</v>
      </c>
      <c r="AX25" s="45">
        <v>1272</v>
      </c>
      <c r="AY25" s="45">
        <v>99.9</v>
      </c>
      <c r="AZ25" s="3">
        <v>7.57</v>
      </c>
      <c r="BA25" s="43">
        <v>9.0731360849999998</v>
      </c>
      <c r="BB25" s="2"/>
      <c r="BC25" s="2"/>
      <c r="BD25" s="3">
        <v>255</v>
      </c>
      <c r="BE25" s="2">
        <f t="shared" si="24"/>
        <v>2.823920265780731</v>
      </c>
      <c r="BF25" s="3">
        <v>333</v>
      </c>
      <c r="BG25" s="2">
        <f t="shared" si="25"/>
        <v>3.6877076411960132</v>
      </c>
      <c r="BH25" s="3">
        <v>183</v>
      </c>
      <c r="BI25" s="2">
        <f t="shared" si="26"/>
        <v>2.0265780730897012</v>
      </c>
      <c r="BJ25" s="3">
        <v>212</v>
      </c>
      <c r="BK25" s="2">
        <f t="shared" si="27"/>
        <v>2.3477297895902547</v>
      </c>
      <c r="BL25" s="3">
        <v>189</v>
      </c>
      <c r="BM25" s="2">
        <f t="shared" si="28"/>
        <v>2.0930232558139537</v>
      </c>
      <c r="BN25" s="3">
        <v>214</v>
      </c>
      <c r="BO25" s="2">
        <f t="shared" si="29"/>
        <v>2.3698781838316725</v>
      </c>
      <c r="BP25" s="3">
        <v>166</v>
      </c>
      <c r="BQ25" s="2">
        <f t="shared" si="30"/>
        <v>1.8383167220376524</v>
      </c>
      <c r="BR25" s="3">
        <v>170</v>
      </c>
      <c r="BS25" s="2">
        <f t="shared" si="31"/>
        <v>1.8826135105204873</v>
      </c>
      <c r="BT25" s="3">
        <v>210</v>
      </c>
      <c r="BU25" s="2">
        <f t="shared" si="32"/>
        <v>2.3255813953488373</v>
      </c>
      <c r="BV25" s="3">
        <v>239</v>
      </c>
      <c r="BW25" s="2">
        <f t="shared" si="14"/>
        <v>2.6467331118493909</v>
      </c>
      <c r="BX25" s="2">
        <f t="shared" si="15"/>
        <v>1.1475409836065573</v>
      </c>
      <c r="BY25" s="2">
        <f t="shared" si="16"/>
        <v>1.1273584905660377</v>
      </c>
      <c r="BZ25" s="2">
        <v>5</v>
      </c>
      <c r="CA25" s="2">
        <v>8</v>
      </c>
      <c r="CB25" s="2">
        <v>2.5</v>
      </c>
      <c r="CC25" s="2">
        <v>7</v>
      </c>
      <c r="CD25" s="2">
        <v>4</v>
      </c>
      <c r="CE25" s="2">
        <v>9.5</v>
      </c>
      <c r="CF25" s="2">
        <v>6.5</v>
      </c>
      <c r="CG25" s="2">
        <v>3.5</v>
      </c>
      <c r="CH25" s="8" t="s">
        <v>143</v>
      </c>
      <c r="CI25" s="8">
        <v>15</v>
      </c>
      <c r="CJ25" s="8">
        <v>2</v>
      </c>
      <c r="CK25" s="22">
        <v>2.75</v>
      </c>
      <c r="CL25" s="22">
        <v>1.3</v>
      </c>
      <c r="CM25" s="22">
        <v>7.09</v>
      </c>
      <c r="CN25" s="22">
        <v>17.23</v>
      </c>
      <c r="CO25" s="22">
        <v>1516.24</v>
      </c>
      <c r="CP25" s="22">
        <v>7.4</v>
      </c>
      <c r="CQ25" s="22">
        <v>26.64</v>
      </c>
      <c r="CR25" s="15" t="e">
        <f t="shared" si="19"/>
        <v>#DIV/0!</v>
      </c>
      <c r="CS25" s="8">
        <v>1.05</v>
      </c>
      <c r="CT25" s="8">
        <v>2.34</v>
      </c>
      <c r="CU25" s="8">
        <v>11.48</v>
      </c>
      <c r="CV25" s="8">
        <v>725</v>
      </c>
      <c r="CW25" s="8">
        <v>8.1199999999999992</v>
      </c>
      <c r="CX25" s="8">
        <v>714.56</v>
      </c>
      <c r="CY25" s="8">
        <v>8.49</v>
      </c>
      <c r="CZ25" s="8">
        <v>30.564</v>
      </c>
      <c r="DA25" s="8">
        <v>8.24</v>
      </c>
      <c r="DB25" s="8">
        <v>29.664000000000001</v>
      </c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</row>
    <row r="26" spans="1:129" ht="14.25" customHeight="1" thickBot="1">
      <c r="A26" s="9" t="s">
        <v>183</v>
      </c>
      <c r="B26" s="10">
        <v>99</v>
      </c>
      <c r="C26" s="16" t="s">
        <v>148</v>
      </c>
      <c r="D26" s="16" t="s">
        <v>150</v>
      </c>
      <c r="E26" s="16" t="s">
        <v>151</v>
      </c>
      <c r="F26" s="27">
        <v>36894</v>
      </c>
      <c r="G26" s="18" t="s">
        <v>146</v>
      </c>
      <c r="H26" s="19">
        <v>25</v>
      </c>
      <c r="I26" s="3">
        <v>78.099999999999994</v>
      </c>
      <c r="J26" s="3">
        <v>182.5</v>
      </c>
      <c r="K26" s="3">
        <f t="shared" si="0"/>
        <v>40</v>
      </c>
      <c r="L26" s="13">
        <v>46210</v>
      </c>
      <c r="M26" s="3" t="s">
        <v>147</v>
      </c>
      <c r="N26" s="3">
        <v>999</v>
      </c>
      <c r="O26" s="3">
        <v>37.700000000000003</v>
      </c>
      <c r="P26" s="3">
        <v>41.2</v>
      </c>
      <c r="Q26" s="3">
        <v>7.2</v>
      </c>
      <c r="R26" s="3">
        <v>7.2</v>
      </c>
      <c r="S26" s="3">
        <v>8.1</v>
      </c>
      <c r="T26" s="3">
        <v>10.5</v>
      </c>
      <c r="U26" s="3">
        <v>14.8</v>
      </c>
      <c r="V26" s="3">
        <v>15.8</v>
      </c>
      <c r="W26" s="3">
        <v>21.9</v>
      </c>
      <c r="X26" s="3">
        <v>22.6</v>
      </c>
      <c r="Y26" s="2">
        <f t="shared" si="1"/>
        <v>30.6</v>
      </c>
      <c r="Z26" s="2">
        <f t="shared" si="2"/>
        <v>44.5</v>
      </c>
      <c r="AA26" s="2">
        <f t="shared" si="3"/>
        <v>0.68764044943820224</v>
      </c>
      <c r="AB26" s="3">
        <v>15</v>
      </c>
      <c r="AC26" s="3">
        <v>19</v>
      </c>
      <c r="AD26" s="3">
        <v>10</v>
      </c>
      <c r="AE26" s="3">
        <v>11</v>
      </c>
      <c r="AF26" s="3">
        <v>23</v>
      </c>
      <c r="AG26" s="2"/>
      <c r="AH26" s="2"/>
      <c r="AI26" s="2"/>
      <c r="AJ26" s="2"/>
      <c r="AK26" s="2"/>
      <c r="AL26" s="2"/>
      <c r="AM26" s="3">
        <v>38.6</v>
      </c>
      <c r="AN26" s="3">
        <v>1764</v>
      </c>
      <c r="AO26" s="3">
        <v>11079</v>
      </c>
      <c r="AP26" s="3">
        <v>2.11</v>
      </c>
      <c r="AQ26" s="28">
        <v>3161</v>
      </c>
      <c r="AR26" s="23">
        <v>11.7</v>
      </c>
      <c r="AS26" s="23">
        <v>14.9</v>
      </c>
      <c r="AT26" s="2"/>
      <c r="AU26" s="3"/>
      <c r="AV26" s="3"/>
      <c r="AW26" s="46">
        <v>11005</v>
      </c>
      <c r="AX26" s="46">
        <v>1272</v>
      </c>
      <c r="AY26" s="46">
        <v>99.9</v>
      </c>
      <c r="AZ26" s="3">
        <v>6.57</v>
      </c>
      <c r="BA26" s="43">
        <v>8.3271832139999997</v>
      </c>
      <c r="BB26" s="2">
        <v>36.72</v>
      </c>
      <c r="BC26" s="2"/>
      <c r="BD26" s="3">
        <v>225</v>
      </c>
      <c r="BE26" s="2">
        <f t="shared" si="24"/>
        <v>2.8809218950064022</v>
      </c>
      <c r="BF26" s="3">
        <v>280</v>
      </c>
      <c r="BG26" s="2">
        <f t="shared" si="25"/>
        <v>3.5851472471190782</v>
      </c>
      <c r="BH26" s="3">
        <v>155</v>
      </c>
      <c r="BI26" s="2">
        <f t="shared" si="26"/>
        <v>1.9846350832266326</v>
      </c>
      <c r="BJ26" s="3">
        <v>189</v>
      </c>
      <c r="BK26" s="2">
        <f t="shared" si="27"/>
        <v>2.4199743918053778</v>
      </c>
      <c r="BL26" s="3">
        <v>182</v>
      </c>
      <c r="BM26" s="2">
        <f t="shared" si="28"/>
        <v>2.3303457106274008</v>
      </c>
      <c r="BN26" s="3">
        <v>159</v>
      </c>
      <c r="BO26" s="2">
        <f t="shared" si="29"/>
        <v>2.0358514724711911</v>
      </c>
      <c r="BP26" s="3">
        <v>174</v>
      </c>
      <c r="BQ26" s="2">
        <f t="shared" si="30"/>
        <v>2.2279129321382842</v>
      </c>
      <c r="BR26" s="3">
        <v>160</v>
      </c>
      <c r="BS26" s="2">
        <f t="shared" si="31"/>
        <v>2.0486555697823303</v>
      </c>
      <c r="BT26" s="3">
        <v>215</v>
      </c>
      <c r="BU26" s="2">
        <f t="shared" si="32"/>
        <v>2.7528809218950068</v>
      </c>
      <c r="BV26" s="3">
        <v>159</v>
      </c>
      <c r="BW26" s="2">
        <f t="shared" si="14"/>
        <v>2.0358514724711911</v>
      </c>
      <c r="BX26" s="2">
        <f t="shared" si="15"/>
        <v>1.3870967741935485</v>
      </c>
      <c r="BY26" s="2">
        <f t="shared" si="16"/>
        <v>0.84126984126984128</v>
      </c>
      <c r="BZ26" s="2">
        <v>3.5</v>
      </c>
      <c r="CA26" s="2">
        <v>10</v>
      </c>
      <c r="CB26" s="2">
        <v>2</v>
      </c>
      <c r="CC26" s="2">
        <v>5</v>
      </c>
      <c r="CD26" s="2">
        <v>4</v>
      </c>
      <c r="CE26" s="2">
        <v>7.5</v>
      </c>
      <c r="CF26" s="2">
        <v>4.5</v>
      </c>
      <c r="CG26" s="2">
        <v>3.5</v>
      </c>
      <c r="CH26" s="7" t="s">
        <v>143</v>
      </c>
      <c r="CI26" s="8">
        <v>15</v>
      </c>
      <c r="CJ26" s="8">
        <v>2</v>
      </c>
      <c r="CK26" s="22">
        <v>2.67</v>
      </c>
      <c r="CL26" s="22">
        <v>1.27</v>
      </c>
      <c r="CM26" s="22">
        <v>7.29</v>
      </c>
      <c r="CN26" s="22"/>
      <c r="CO26" s="22"/>
      <c r="CP26" s="22">
        <v>7.64</v>
      </c>
      <c r="CQ26" s="22">
        <v>27.504000000000001</v>
      </c>
      <c r="CR26" s="15">
        <f t="shared" si="19"/>
        <v>0.74901960784313726</v>
      </c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</row>
    <row r="27" spans="1:129" ht="14.25" customHeight="1" thickBot="1">
      <c r="A27" s="9" t="s">
        <v>184</v>
      </c>
      <c r="B27" s="10">
        <v>25</v>
      </c>
      <c r="C27" s="16"/>
      <c r="D27" s="16" t="s">
        <v>159</v>
      </c>
      <c r="E27" s="16" t="s">
        <v>160</v>
      </c>
      <c r="F27" s="27">
        <v>39046</v>
      </c>
      <c r="G27" s="18" t="s">
        <v>146</v>
      </c>
      <c r="H27" s="19">
        <v>19</v>
      </c>
      <c r="I27" s="3">
        <v>70.5</v>
      </c>
      <c r="J27" s="3">
        <v>171</v>
      </c>
      <c r="K27" s="3">
        <f t="shared" si="0"/>
        <v>47.5</v>
      </c>
      <c r="L27" s="13">
        <v>46199</v>
      </c>
      <c r="M27" s="3" t="s">
        <v>147</v>
      </c>
      <c r="N27" s="3">
        <v>1165</v>
      </c>
      <c r="O27" s="3">
        <v>31.9</v>
      </c>
      <c r="P27" s="3">
        <v>33.200000000000003</v>
      </c>
      <c r="Q27" s="3">
        <v>6.3</v>
      </c>
      <c r="R27" s="3">
        <v>10.1</v>
      </c>
      <c r="S27" s="3">
        <v>9.6999999999999993</v>
      </c>
      <c r="T27" s="3">
        <v>10.8</v>
      </c>
      <c r="U27" s="3">
        <v>28.6</v>
      </c>
      <c r="V27" s="3">
        <v>27.6</v>
      </c>
      <c r="W27" s="3">
        <v>26.8</v>
      </c>
      <c r="X27" s="3">
        <v>25.7</v>
      </c>
      <c r="Y27" s="2">
        <f t="shared" si="1"/>
        <v>56.2</v>
      </c>
      <c r="Z27" s="2">
        <f t="shared" si="2"/>
        <v>52.5</v>
      </c>
      <c r="AA27" s="2">
        <f t="shared" si="3"/>
        <v>1.0704761904761906</v>
      </c>
      <c r="AB27" s="3">
        <v>21</v>
      </c>
      <c r="AC27" s="3">
        <v>17</v>
      </c>
      <c r="AD27" s="3">
        <v>8</v>
      </c>
      <c r="AE27" s="3">
        <v>6</v>
      </c>
      <c r="AF27" s="3">
        <v>24</v>
      </c>
      <c r="AG27" s="2"/>
      <c r="AH27" s="2">
        <f t="shared" ref="AH27:AH29" si="35">AG27/I27</f>
        <v>0</v>
      </c>
      <c r="AI27" s="2"/>
      <c r="AJ27" s="2">
        <f t="shared" ref="AJ27:AJ29" si="36">AI27/I27</f>
        <v>0</v>
      </c>
      <c r="AK27" s="2"/>
      <c r="AL27" s="2"/>
      <c r="AM27" s="3">
        <v>42.4</v>
      </c>
      <c r="AN27" s="3">
        <v>1823.4</v>
      </c>
      <c r="AO27" s="3">
        <v>5762</v>
      </c>
      <c r="AP27" s="3">
        <v>2.66</v>
      </c>
      <c r="AQ27" s="3">
        <v>4782</v>
      </c>
      <c r="AR27" s="23">
        <v>11.8</v>
      </c>
      <c r="AS27" s="23">
        <v>15.9</v>
      </c>
      <c r="AT27" s="2"/>
      <c r="AU27" s="3">
        <v>16.5</v>
      </c>
      <c r="AV27" s="3">
        <v>212</v>
      </c>
      <c r="AW27" s="47">
        <v>10877</v>
      </c>
      <c r="AX27" s="47">
        <v>1217</v>
      </c>
      <c r="AY27" s="47">
        <v>23.2</v>
      </c>
      <c r="AZ27" s="3">
        <v>6.91</v>
      </c>
      <c r="BA27" s="42">
        <v>9.9243945349999994</v>
      </c>
      <c r="BB27" s="3">
        <v>28.08</v>
      </c>
      <c r="BC27" s="2"/>
      <c r="BD27" s="3">
        <v>203.4</v>
      </c>
      <c r="BE27" s="2">
        <f t="shared" si="24"/>
        <v>2.8851063829787233</v>
      </c>
      <c r="BF27" s="3">
        <v>161.69999999999999</v>
      </c>
      <c r="BG27" s="2">
        <f t="shared" si="25"/>
        <v>2.2936170212765954</v>
      </c>
      <c r="BH27" s="3">
        <v>191.7</v>
      </c>
      <c r="BI27" s="2">
        <f t="shared" si="26"/>
        <v>2.7191489361702126</v>
      </c>
      <c r="BJ27" s="3">
        <v>182.3</v>
      </c>
      <c r="BK27" s="2">
        <f t="shared" si="27"/>
        <v>2.5858156028368797</v>
      </c>
      <c r="BL27" s="3">
        <v>125.8</v>
      </c>
      <c r="BM27" s="2">
        <f t="shared" si="28"/>
        <v>1.7843971631205673</v>
      </c>
      <c r="BN27" s="3">
        <v>134.5</v>
      </c>
      <c r="BO27" s="2">
        <f t="shared" si="29"/>
        <v>1.9078014184397163</v>
      </c>
      <c r="BP27" s="3">
        <v>144.30000000000001</v>
      </c>
      <c r="BQ27" s="2">
        <f t="shared" si="30"/>
        <v>2.0468085106382978</v>
      </c>
      <c r="BR27" s="3">
        <v>146</v>
      </c>
      <c r="BS27" s="2">
        <f t="shared" si="31"/>
        <v>2.0709219858156027</v>
      </c>
      <c r="BT27" s="3">
        <v>175.3</v>
      </c>
      <c r="BU27" s="2">
        <f t="shared" si="32"/>
        <v>2.4865248226950358</v>
      </c>
      <c r="BV27" s="3">
        <v>214.8</v>
      </c>
      <c r="BW27" s="2">
        <f t="shared" si="14"/>
        <v>3.0468085106382978</v>
      </c>
      <c r="BX27" s="2">
        <f t="shared" si="15"/>
        <v>0.9144496609285343</v>
      </c>
      <c r="BY27" s="2">
        <f t="shared" si="16"/>
        <v>1.1782775644541963</v>
      </c>
      <c r="BZ27" s="2">
        <v>4.5</v>
      </c>
      <c r="CA27" s="2">
        <v>7.5</v>
      </c>
      <c r="CB27" s="2">
        <v>3</v>
      </c>
      <c r="CC27" s="2">
        <v>10.5</v>
      </c>
      <c r="CD27" s="2">
        <v>4.5</v>
      </c>
      <c r="CE27" s="2">
        <v>7.5</v>
      </c>
      <c r="CF27" s="2">
        <v>6</v>
      </c>
      <c r="CG27" s="2">
        <v>4</v>
      </c>
      <c r="CH27" s="2"/>
      <c r="CI27" s="2"/>
      <c r="CJ27" s="2"/>
      <c r="CK27" s="14"/>
      <c r="CL27" s="14"/>
      <c r="CM27" s="14"/>
      <c r="CN27" s="14"/>
      <c r="CO27" s="14"/>
      <c r="CP27" s="14"/>
      <c r="CQ27" s="14"/>
      <c r="CR27" s="15">
        <f t="shared" si="19"/>
        <v>0</v>
      </c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</row>
    <row r="28" spans="1:129" ht="14.25" customHeight="1" thickBot="1">
      <c r="A28" s="19" t="s">
        <v>185</v>
      </c>
      <c r="B28" s="16">
        <v>94</v>
      </c>
      <c r="C28" s="10" t="s">
        <v>148</v>
      </c>
      <c r="D28" s="10" t="s">
        <v>167</v>
      </c>
      <c r="E28" s="10" t="s">
        <v>168</v>
      </c>
      <c r="F28" s="21">
        <v>38061</v>
      </c>
      <c r="G28" s="12" t="s">
        <v>146</v>
      </c>
      <c r="H28" s="9">
        <v>22</v>
      </c>
      <c r="I28" s="3">
        <v>93.8</v>
      </c>
      <c r="J28" s="3">
        <v>188.9</v>
      </c>
      <c r="K28" s="3">
        <f t="shared" si="0"/>
        <v>63.5</v>
      </c>
      <c r="L28" s="13">
        <v>46199</v>
      </c>
      <c r="M28" s="3" t="s">
        <v>147</v>
      </c>
      <c r="N28" s="3">
        <v>1340</v>
      </c>
      <c r="O28" s="3">
        <v>46.2</v>
      </c>
      <c r="P28" s="3">
        <v>38.700000000000003</v>
      </c>
      <c r="Q28" s="3">
        <v>9.1</v>
      </c>
      <c r="R28" s="3">
        <v>11</v>
      </c>
      <c r="S28" s="3">
        <v>14.9</v>
      </c>
      <c r="T28" s="3">
        <v>14.6</v>
      </c>
      <c r="U28" s="3">
        <v>27.9</v>
      </c>
      <c r="V28" s="3">
        <v>31.1</v>
      </c>
      <c r="W28" s="3">
        <v>33.9</v>
      </c>
      <c r="X28" s="3">
        <v>34.1</v>
      </c>
      <c r="Y28" s="2">
        <f t="shared" si="1"/>
        <v>59</v>
      </c>
      <c r="Z28" s="2">
        <f t="shared" si="2"/>
        <v>68</v>
      </c>
      <c r="AA28" s="2">
        <f t="shared" si="3"/>
        <v>0.86764705882352944</v>
      </c>
      <c r="AB28" s="3">
        <v>22</v>
      </c>
      <c r="AC28" s="3">
        <v>17</v>
      </c>
      <c r="AD28" s="3">
        <v>5</v>
      </c>
      <c r="AE28" s="3">
        <v>6</v>
      </c>
      <c r="AF28" s="3">
        <v>37</v>
      </c>
      <c r="AG28" s="2"/>
      <c r="AH28" s="2">
        <f t="shared" si="35"/>
        <v>0</v>
      </c>
      <c r="AI28" s="2"/>
      <c r="AJ28" s="2">
        <f t="shared" si="36"/>
        <v>0</v>
      </c>
      <c r="AK28" s="2"/>
      <c r="AL28" s="2"/>
      <c r="AM28" s="3">
        <v>36.5</v>
      </c>
      <c r="AN28" s="3">
        <v>2228.3000000000002</v>
      </c>
      <c r="AO28" s="3">
        <v>12667</v>
      </c>
      <c r="AP28" s="3">
        <v>1.92</v>
      </c>
      <c r="AQ28" s="3">
        <v>4645</v>
      </c>
      <c r="AR28" s="3" t="s">
        <v>186</v>
      </c>
      <c r="AS28" s="3" t="s">
        <v>186</v>
      </c>
      <c r="AT28" s="2"/>
      <c r="AU28" s="3"/>
      <c r="AV28" s="2"/>
      <c r="AW28" s="44">
        <v>5212</v>
      </c>
      <c r="AX28" s="44">
        <v>56</v>
      </c>
      <c r="AY28" s="44">
        <v>2.2999999999999998</v>
      </c>
      <c r="AZ28" s="3">
        <v>6.97</v>
      </c>
      <c r="BA28" s="42">
        <v>9.3690107549999997</v>
      </c>
      <c r="BB28" s="3">
        <v>34.200000000000003</v>
      </c>
      <c r="BC28" s="2"/>
      <c r="BD28" s="3">
        <v>313</v>
      </c>
      <c r="BE28" s="2">
        <f t="shared" si="24"/>
        <v>3.3368869936034118</v>
      </c>
      <c r="BF28" s="3">
        <v>297</v>
      </c>
      <c r="BG28" s="2">
        <f t="shared" si="25"/>
        <v>3.1663113006396588</v>
      </c>
      <c r="BH28" s="3">
        <v>198</v>
      </c>
      <c r="BI28" s="2">
        <f t="shared" si="26"/>
        <v>2.1108742004264394</v>
      </c>
      <c r="BJ28" s="3">
        <v>190</v>
      </c>
      <c r="BK28" s="2">
        <f t="shared" si="27"/>
        <v>2.0255863539445631</v>
      </c>
      <c r="BL28" s="3">
        <v>195</v>
      </c>
      <c r="BM28" s="2">
        <f t="shared" si="28"/>
        <v>2.0788912579957355</v>
      </c>
      <c r="BN28" s="3">
        <v>205</v>
      </c>
      <c r="BO28" s="2">
        <f t="shared" si="29"/>
        <v>2.1855010660980811</v>
      </c>
      <c r="BP28" s="3">
        <v>182</v>
      </c>
      <c r="BQ28" s="2">
        <f t="shared" si="30"/>
        <v>1.9402985074626866</v>
      </c>
      <c r="BR28" s="3">
        <v>177</v>
      </c>
      <c r="BS28" s="2">
        <f t="shared" si="31"/>
        <v>1.886993603411514</v>
      </c>
      <c r="BT28" s="3">
        <v>263</v>
      </c>
      <c r="BU28" s="2">
        <f t="shared" si="32"/>
        <v>2.8038379530916844</v>
      </c>
      <c r="BV28" s="3">
        <v>165</v>
      </c>
      <c r="BW28" s="2">
        <f t="shared" si="14"/>
        <v>1.7590618336886994</v>
      </c>
      <c r="BX28" s="2">
        <f t="shared" si="15"/>
        <v>1.3282828282828283</v>
      </c>
      <c r="BY28" s="2">
        <f t="shared" si="16"/>
        <v>0.86842105263157898</v>
      </c>
      <c r="BZ28" s="2">
        <v>6</v>
      </c>
      <c r="CA28" s="2">
        <v>10.5</v>
      </c>
      <c r="CB28" s="2">
        <v>3</v>
      </c>
      <c r="CC28" s="2">
        <v>13.5</v>
      </c>
      <c r="CD28" s="2">
        <v>8</v>
      </c>
      <c r="CE28" s="2">
        <v>9.5</v>
      </c>
      <c r="CF28" s="2">
        <v>8.5</v>
      </c>
      <c r="CG28" s="2">
        <v>4.5</v>
      </c>
      <c r="CH28" s="2"/>
      <c r="CI28" s="2"/>
      <c r="CJ28" s="2"/>
      <c r="CK28" s="14"/>
      <c r="CL28" s="14"/>
      <c r="CM28" s="14"/>
      <c r="CN28" s="14"/>
      <c r="CO28" s="14"/>
      <c r="CP28" s="14"/>
      <c r="CQ28" s="14"/>
      <c r="CR28" s="15">
        <f t="shared" si="19"/>
        <v>0</v>
      </c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</row>
    <row r="29" spans="1:129" ht="14.25" customHeight="1" thickBot="1">
      <c r="A29" s="9" t="s">
        <v>187</v>
      </c>
      <c r="B29" s="10">
        <v>87</v>
      </c>
      <c r="C29" s="16" t="s">
        <v>148</v>
      </c>
      <c r="D29" s="16" t="s">
        <v>159</v>
      </c>
      <c r="E29" s="16" t="s">
        <v>160</v>
      </c>
      <c r="F29" s="27">
        <v>39041</v>
      </c>
      <c r="G29" s="18" t="s">
        <v>146</v>
      </c>
      <c r="H29" s="19">
        <v>19</v>
      </c>
      <c r="I29" s="3">
        <v>65.900000000000006</v>
      </c>
      <c r="J29" s="3">
        <v>177.5</v>
      </c>
      <c r="K29" s="3">
        <f t="shared" si="0"/>
        <v>41.5</v>
      </c>
      <c r="L29" s="13">
        <v>46199</v>
      </c>
      <c r="M29" s="3" t="s">
        <v>147</v>
      </c>
      <c r="N29" s="3">
        <v>938</v>
      </c>
      <c r="O29" s="3">
        <v>29.1</v>
      </c>
      <c r="P29" s="3">
        <v>33.799999999999997</v>
      </c>
      <c r="Q29" s="3">
        <v>3</v>
      </c>
      <c r="R29" s="3">
        <v>4.5999999999999996</v>
      </c>
      <c r="S29" s="3">
        <v>3.8</v>
      </c>
      <c r="T29" s="3">
        <v>5.0999999999999996</v>
      </c>
      <c r="U29" s="3">
        <v>9.1</v>
      </c>
      <c r="V29" s="3">
        <v>9.5</v>
      </c>
      <c r="W29" s="3">
        <v>17</v>
      </c>
      <c r="X29" s="3">
        <v>17.2</v>
      </c>
      <c r="Y29" s="2">
        <f t="shared" si="1"/>
        <v>18.600000000000001</v>
      </c>
      <c r="Z29" s="2">
        <f t="shared" si="2"/>
        <v>34.200000000000003</v>
      </c>
      <c r="AA29" s="2">
        <f t="shared" si="3"/>
        <v>0.54385964912280704</v>
      </c>
      <c r="AB29" s="3">
        <v>9</v>
      </c>
      <c r="AC29" s="3">
        <v>14</v>
      </c>
      <c r="AD29" s="3">
        <v>12.5</v>
      </c>
      <c r="AE29" s="3">
        <v>13</v>
      </c>
      <c r="AF29" s="3">
        <v>16</v>
      </c>
      <c r="AG29" s="2"/>
      <c r="AH29" s="2">
        <f t="shared" si="35"/>
        <v>0</v>
      </c>
      <c r="AI29" s="2"/>
      <c r="AJ29" s="2">
        <f t="shared" si="36"/>
        <v>0</v>
      </c>
      <c r="AK29" s="2"/>
      <c r="AL29" s="2"/>
      <c r="AM29" s="3">
        <v>44.4</v>
      </c>
      <c r="AN29" s="3">
        <v>1733</v>
      </c>
      <c r="AO29" s="3">
        <v>9814</v>
      </c>
      <c r="AP29" s="3">
        <v>1.98</v>
      </c>
      <c r="AQ29" s="3">
        <v>2679</v>
      </c>
      <c r="AR29" s="23">
        <v>12.6</v>
      </c>
      <c r="AS29" s="23">
        <v>15</v>
      </c>
      <c r="AT29" s="2"/>
      <c r="AU29" s="3">
        <v>16</v>
      </c>
      <c r="AV29" s="3">
        <v>211</v>
      </c>
      <c r="AW29" s="47">
        <v>10764</v>
      </c>
      <c r="AX29" s="47">
        <v>806</v>
      </c>
      <c r="AY29" s="47">
        <v>19.7</v>
      </c>
      <c r="AZ29" s="3">
        <v>6.75</v>
      </c>
      <c r="BA29" s="42">
        <v>9.7675094680000001</v>
      </c>
      <c r="BB29" s="3">
        <v>34.6</v>
      </c>
      <c r="BC29" s="2"/>
      <c r="BD29" s="3">
        <v>251</v>
      </c>
      <c r="BE29" s="2">
        <f t="shared" si="24"/>
        <v>3.8088012139605461</v>
      </c>
      <c r="BF29" s="3">
        <v>249</v>
      </c>
      <c r="BG29" s="2">
        <f t="shared" si="25"/>
        <v>3.7784522003034899</v>
      </c>
      <c r="BH29" s="3">
        <v>187</v>
      </c>
      <c r="BI29" s="2">
        <f t="shared" si="26"/>
        <v>2.8376327769347496</v>
      </c>
      <c r="BJ29" s="3">
        <v>196</v>
      </c>
      <c r="BK29" s="2">
        <f t="shared" si="27"/>
        <v>2.9742033383915021</v>
      </c>
      <c r="BL29" s="3">
        <v>160</v>
      </c>
      <c r="BM29" s="2">
        <f t="shared" si="28"/>
        <v>2.4279210925644916</v>
      </c>
      <c r="BN29" s="3">
        <v>170</v>
      </c>
      <c r="BO29" s="2">
        <f t="shared" si="29"/>
        <v>2.5796661608497722</v>
      </c>
      <c r="BP29" s="3">
        <v>141</v>
      </c>
      <c r="BQ29" s="2">
        <f t="shared" si="30"/>
        <v>2.1396054628224581</v>
      </c>
      <c r="BR29" s="3">
        <v>115</v>
      </c>
      <c r="BS29" s="2">
        <f t="shared" si="31"/>
        <v>1.7450682852807282</v>
      </c>
      <c r="BT29" s="3">
        <v>145</v>
      </c>
      <c r="BU29" s="2">
        <f t="shared" si="32"/>
        <v>2.2003034901365703</v>
      </c>
      <c r="BV29" s="3">
        <v>155</v>
      </c>
      <c r="BW29" s="2">
        <f t="shared" si="14"/>
        <v>2.3520485584218509</v>
      </c>
      <c r="BX29" s="2">
        <f t="shared" si="15"/>
        <v>0.77540106951871657</v>
      </c>
      <c r="BY29" s="2">
        <f t="shared" si="16"/>
        <v>0.79081632653061229</v>
      </c>
      <c r="BZ29" s="2">
        <v>4</v>
      </c>
      <c r="CA29" s="2">
        <v>7.5</v>
      </c>
      <c r="CB29" s="2">
        <v>2.5</v>
      </c>
      <c r="CC29" s="2">
        <v>6.5</v>
      </c>
      <c r="CD29" s="2">
        <v>4</v>
      </c>
      <c r="CE29" s="2">
        <v>7</v>
      </c>
      <c r="CF29" s="2">
        <v>5</v>
      </c>
      <c r="CG29" s="2">
        <v>5</v>
      </c>
      <c r="CH29" s="7" t="s">
        <v>143</v>
      </c>
      <c r="CI29" s="8">
        <v>15</v>
      </c>
      <c r="CJ29" s="8">
        <v>2</v>
      </c>
      <c r="CK29" s="24">
        <v>2.4900000000000002</v>
      </c>
      <c r="CL29" s="24">
        <v>1.1399999999999999</v>
      </c>
      <c r="CM29" s="24">
        <v>8.67</v>
      </c>
      <c r="CN29" s="24">
        <v>22.47</v>
      </c>
      <c r="CO29" s="22">
        <v>1480.7729999999999</v>
      </c>
      <c r="CP29" s="24">
        <v>7.97</v>
      </c>
      <c r="CQ29" s="22">
        <v>28.692</v>
      </c>
      <c r="CR29" s="15">
        <f t="shared" si="19"/>
        <v>0.82924855491329463</v>
      </c>
      <c r="CS29" s="8">
        <v>0.92</v>
      </c>
      <c r="CT29" s="8">
        <v>2.06</v>
      </c>
      <c r="CU29" s="8">
        <v>10.75</v>
      </c>
      <c r="CV29" s="8">
        <v>563</v>
      </c>
      <c r="CW29" s="8">
        <v>9.89</v>
      </c>
      <c r="CX29" s="8">
        <v>651.75099999999998</v>
      </c>
      <c r="CY29" s="8">
        <v>9.09</v>
      </c>
      <c r="CZ29" s="8">
        <v>32.723999999999997</v>
      </c>
      <c r="DA29" s="8">
        <v>8.8000000000000007</v>
      </c>
      <c r="DB29" s="8">
        <v>31.68</v>
      </c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</row>
    <row r="30" spans="1:129" ht="14.25" customHeight="1" thickBot="1">
      <c r="A30" s="19" t="s">
        <v>188</v>
      </c>
      <c r="B30" s="16">
        <v>63</v>
      </c>
      <c r="C30" s="10" t="s">
        <v>148</v>
      </c>
      <c r="D30" s="10" t="s">
        <v>144</v>
      </c>
      <c r="E30" s="10" t="s">
        <v>145</v>
      </c>
      <c r="F30" s="21">
        <v>36986</v>
      </c>
      <c r="G30" s="12" t="s">
        <v>146</v>
      </c>
      <c r="H30" s="9">
        <v>25</v>
      </c>
      <c r="I30" s="3">
        <v>80.7</v>
      </c>
      <c r="J30" s="3">
        <v>177</v>
      </c>
      <c r="K30" s="3">
        <f t="shared" si="0"/>
        <v>34</v>
      </c>
      <c r="L30" s="13">
        <v>46220</v>
      </c>
      <c r="M30" s="3" t="s">
        <v>147</v>
      </c>
      <c r="N30" s="3">
        <v>1387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2">
        <f t="shared" si="1"/>
        <v>0</v>
      </c>
      <c r="Z30" s="2">
        <f t="shared" si="2"/>
        <v>0</v>
      </c>
      <c r="AA30" s="2" t="e">
        <f t="shared" si="3"/>
        <v>#DIV/0!</v>
      </c>
      <c r="AB30" s="3"/>
      <c r="AC30" s="3"/>
      <c r="AD30" s="3"/>
      <c r="AE30" s="3"/>
      <c r="AF30" s="3"/>
      <c r="AG30" s="2"/>
      <c r="AH30" s="2"/>
      <c r="AI30" s="2"/>
      <c r="AJ30" s="2"/>
      <c r="AK30" s="2"/>
      <c r="AL30" s="2"/>
      <c r="AM30" s="3">
        <v>41</v>
      </c>
      <c r="AN30" s="3">
        <v>2003</v>
      </c>
      <c r="AO30" s="3">
        <v>9854</v>
      </c>
      <c r="AP30" s="3">
        <v>2.21</v>
      </c>
      <c r="AQ30" s="3">
        <v>2950</v>
      </c>
      <c r="AR30" s="2"/>
      <c r="AS30" s="2"/>
      <c r="AT30" s="2"/>
      <c r="AU30" s="3"/>
      <c r="AV30" s="2"/>
      <c r="AW30" s="46">
        <v>10390</v>
      </c>
      <c r="AX30" s="46">
        <v>910</v>
      </c>
      <c r="AY30" s="46">
        <v>42</v>
      </c>
      <c r="AZ30" s="3">
        <v>6.69</v>
      </c>
      <c r="BA30" s="43">
        <v>7.3421607480000004</v>
      </c>
      <c r="BB30" s="2"/>
      <c r="BC30" s="2"/>
      <c r="BD30" s="3"/>
      <c r="BE30" s="2">
        <f t="shared" si="24"/>
        <v>0</v>
      </c>
      <c r="BF30" s="3"/>
      <c r="BG30" s="2">
        <f t="shared" si="25"/>
        <v>0</v>
      </c>
      <c r="BH30" s="3"/>
      <c r="BI30" s="2">
        <f t="shared" si="26"/>
        <v>0</v>
      </c>
      <c r="BJ30" s="3"/>
      <c r="BK30" s="2">
        <f t="shared" si="27"/>
        <v>0</v>
      </c>
      <c r="BL30" s="3"/>
      <c r="BM30" s="2">
        <f t="shared" si="28"/>
        <v>0</v>
      </c>
      <c r="BN30" s="3"/>
      <c r="BO30" s="2">
        <f t="shared" si="29"/>
        <v>0</v>
      </c>
      <c r="BP30" s="3"/>
      <c r="BQ30" s="2">
        <f t="shared" si="30"/>
        <v>0</v>
      </c>
      <c r="BR30" s="3"/>
      <c r="BS30" s="2">
        <f t="shared" si="31"/>
        <v>0</v>
      </c>
      <c r="BT30" s="3"/>
      <c r="BU30" s="2">
        <f t="shared" si="32"/>
        <v>0</v>
      </c>
      <c r="BV30" s="3"/>
      <c r="BW30" s="2">
        <f t="shared" si="14"/>
        <v>0</v>
      </c>
      <c r="BX30" s="2" t="e">
        <f t="shared" si="15"/>
        <v>#DIV/0!</v>
      </c>
      <c r="BY30" s="2" t="e">
        <f t="shared" si="16"/>
        <v>#DIV/0!</v>
      </c>
      <c r="BZ30" s="2">
        <v>3</v>
      </c>
      <c r="CA30" s="2">
        <v>8.5</v>
      </c>
      <c r="CB30" s="2">
        <v>2.5</v>
      </c>
      <c r="CC30" s="2">
        <v>3.5</v>
      </c>
      <c r="CD30" s="2">
        <v>3.5</v>
      </c>
      <c r="CE30" s="2">
        <v>5.5</v>
      </c>
      <c r="CF30" s="2">
        <v>4</v>
      </c>
      <c r="CG30" s="2">
        <v>3.5</v>
      </c>
      <c r="CH30" s="7" t="s">
        <v>143</v>
      </c>
      <c r="CI30" s="8">
        <v>15</v>
      </c>
      <c r="CJ30" s="8">
        <v>2</v>
      </c>
      <c r="CK30" s="24">
        <v>2.64</v>
      </c>
      <c r="CL30" s="24">
        <v>1.26</v>
      </c>
      <c r="CM30" s="24">
        <v>7.52</v>
      </c>
      <c r="CN30" s="14"/>
      <c r="CO30" s="14"/>
      <c r="CP30" s="25">
        <v>7.61</v>
      </c>
      <c r="CQ30" s="14">
        <f>CP30*3.6</f>
        <v>27.396000000000001</v>
      </c>
      <c r="CR30" s="15" t="e">
        <f t="shared" si="19"/>
        <v>#DIV/0!</v>
      </c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</row>
    <row r="31" spans="1:129" ht="14.25" customHeight="1" thickBot="1">
      <c r="A31" s="19" t="s">
        <v>189</v>
      </c>
      <c r="B31" s="16">
        <v>23</v>
      </c>
      <c r="C31" s="10" t="s">
        <v>148</v>
      </c>
      <c r="D31" s="10" t="s">
        <v>159</v>
      </c>
      <c r="E31" s="10" t="s">
        <v>164</v>
      </c>
      <c r="F31" s="21">
        <v>35162</v>
      </c>
      <c r="G31" s="12" t="s">
        <v>190</v>
      </c>
      <c r="H31" s="9">
        <v>30</v>
      </c>
      <c r="I31" s="2"/>
      <c r="J31" s="3">
        <v>181.5</v>
      </c>
      <c r="K31" s="3">
        <f t="shared" si="0"/>
        <v>0</v>
      </c>
      <c r="L31" s="13">
        <v>46199</v>
      </c>
      <c r="M31" s="3" t="s">
        <v>147</v>
      </c>
      <c r="N31" s="3">
        <v>1140</v>
      </c>
      <c r="O31" s="3">
        <v>35.1</v>
      </c>
      <c r="P31" s="3">
        <v>36.1</v>
      </c>
      <c r="Q31" s="3">
        <v>8.9</v>
      </c>
      <c r="R31" s="3">
        <v>7.7</v>
      </c>
      <c r="S31" s="3">
        <v>11</v>
      </c>
      <c r="T31" s="3">
        <v>9.3000000000000007</v>
      </c>
      <c r="U31" s="3">
        <v>19.600000000000001</v>
      </c>
      <c r="V31" s="3">
        <v>19.8</v>
      </c>
      <c r="W31" s="3">
        <v>24.1</v>
      </c>
      <c r="X31" s="3">
        <v>25.2</v>
      </c>
      <c r="Y31" s="2">
        <f t="shared" si="1"/>
        <v>39.400000000000006</v>
      </c>
      <c r="Z31" s="2">
        <f t="shared" si="2"/>
        <v>49.3</v>
      </c>
      <c r="AA31" s="2">
        <f t="shared" si="3"/>
        <v>0.79918864097363096</v>
      </c>
      <c r="AB31" s="3">
        <v>20</v>
      </c>
      <c r="AC31" s="3">
        <v>20</v>
      </c>
      <c r="AD31" s="3">
        <v>13</v>
      </c>
      <c r="AE31" s="3">
        <v>13</v>
      </c>
      <c r="AF31" s="3">
        <v>30</v>
      </c>
      <c r="AG31" s="2"/>
      <c r="AH31" s="2" t="e">
        <f t="shared" ref="AH31:AH69" si="37">AG31/I31</f>
        <v>#DIV/0!</v>
      </c>
      <c r="AI31" s="2"/>
      <c r="AJ31" s="2" t="e">
        <f t="shared" ref="AJ31:AJ68" si="38">AI31/I31</f>
        <v>#DIV/0!</v>
      </c>
      <c r="AK31" s="2"/>
      <c r="AL31" s="2"/>
      <c r="AM31" s="3">
        <v>34.4</v>
      </c>
      <c r="AN31" s="3">
        <v>1912</v>
      </c>
      <c r="AO31" s="3">
        <v>15358</v>
      </c>
      <c r="AP31" s="3"/>
      <c r="AQ31" s="2"/>
      <c r="AR31" s="2"/>
      <c r="AS31" s="2"/>
      <c r="AT31" s="2"/>
      <c r="AU31" s="3">
        <v>17</v>
      </c>
      <c r="AV31" s="2"/>
      <c r="AW31" s="48"/>
      <c r="AX31" s="48"/>
      <c r="AY31" s="48"/>
      <c r="AZ31" s="3">
        <v>6.19</v>
      </c>
      <c r="BA31" s="43">
        <v>8.3311451660000007</v>
      </c>
      <c r="BB31" s="2"/>
      <c r="BC31" s="2"/>
      <c r="BD31" s="3">
        <v>211</v>
      </c>
      <c r="BE31" s="2" t="e">
        <f t="shared" si="24"/>
        <v>#DIV/0!</v>
      </c>
      <c r="BF31" s="3">
        <v>250</v>
      </c>
      <c r="BG31" s="2" t="e">
        <f t="shared" si="25"/>
        <v>#DIV/0!</v>
      </c>
      <c r="BH31" s="3">
        <v>136</v>
      </c>
      <c r="BI31" s="2" t="e">
        <f t="shared" si="26"/>
        <v>#DIV/0!</v>
      </c>
      <c r="BJ31" s="3">
        <v>144</v>
      </c>
      <c r="BK31" s="2" t="e">
        <f t="shared" si="27"/>
        <v>#DIV/0!</v>
      </c>
      <c r="BL31" s="3">
        <v>130</v>
      </c>
      <c r="BM31" s="2" t="e">
        <f t="shared" si="28"/>
        <v>#DIV/0!</v>
      </c>
      <c r="BN31" s="3">
        <v>147</v>
      </c>
      <c r="BO31" s="2" t="e">
        <f t="shared" si="29"/>
        <v>#DIV/0!</v>
      </c>
      <c r="BP31" s="3">
        <v>92</v>
      </c>
      <c r="BQ31" s="2" t="e">
        <f t="shared" si="30"/>
        <v>#DIV/0!</v>
      </c>
      <c r="BR31" s="3">
        <v>114</v>
      </c>
      <c r="BS31" s="2" t="e">
        <f t="shared" si="31"/>
        <v>#DIV/0!</v>
      </c>
      <c r="BT31" s="3">
        <v>115</v>
      </c>
      <c r="BU31" s="2" t="e">
        <f t="shared" si="32"/>
        <v>#DIV/0!</v>
      </c>
      <c r="BV31" s="3">
        <v>158</v>
      </c>
      <c r="BW31" s="2" t="e">
        <f t="shared" si="14"/>
        <v>#DIV/0!</v>
      </c>
      <c r="BX31" s="2">
        <f t="shared" si="15"/>
        <v>0.84558823529411764</v>
      </c>
      <c r="BY31" s="2">
        <f t="shared" si="16"/>
        <v>1.0972222222222223</v>
      </c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15" t="e">
        <f t="shared" si="19"/>
        <v>#DIV/0!</v>
      </c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</row>
    <row r="32" spans="1:129" ht="14.25" customHeight="1" thickBot="1">
      <c r="A32" s="9" t="s">
        <v>191</v>
      </c>
      <c r="B32" s="10">
        <v>31</v>
      </c>
      <c r="C32" s="16" t="s">
        <v>148</v>
      </c>
      <c r="D32" s="16" t="s">
        <v>144</v>
      </c>
      <c r="E32" s="16" t="s">
        <v>145</v>
      </c>
      <c r="F32" s="17">
        <v>38420</v>
      </c>
      <c r="G32" s="18" t="s">
        <v>146</v>
      </c>
      <c r="H32" s="19">
        <v>21</v>
      </c>
      <c r="I32" s="2"/>
      <c r="J32" s="2"/>
      <c r="K32" s="3">
        <f t="shared" si="0"/>
        <v>0</v>
      </c>
      <c r="L32" s="13"/>
      <c r="M32" s="3" t="s">
        <v>147</v>
      </c>
      <c r="N32" s="2"/>
      <c r="O32" s="3">
        <v>36</v>
      </c>
      <c r="P32" s="3">
        <v>36</v>
      </c>
      <c r="Q32" s="3">
        <v>10.5</v>
      </c>
      <c r="R32" s="3">
        <v>10.1</v>
      </c>
      <c r="S32" s="3">
        <v>9.6</v>
      </c>
      <c r="T32" s="3">
        <v>10</v>
      </c>
      <c r="U32" s="3">
        <v>29.7</v>
      </c>
      <c r="V32" s="3">
        <v>30.6</v>
      </c>
      <c r="W32" s="3">
        <v>18.3</v>
      </c>
      <c r="X32" s="3">
        <v>17.5</v>
      </c>
      <c r="Y32" s="2">
        <f t="shared" si="1"/>
        <v>60.3</v>
      </c>
      <c r="Z32" s="2">
        <f t="shared" si="2"/>
        <v>35.799999999999997</v>
      </c>
      <c r="AA32" s="2">
        <f t="shared" si="3"/>
        <v>1.6843575418994414</v>
      </c>
      <c r="AB32" s="3">
        <v>17</v>
      </c>
      <c r="AC32" s="3">
        <v>9</v>
      </c>
      <c r="AD32" s="3">
        <v>11</v>
      </c>
      <c r="AE32" s="3">
        <v>11</v>
      </c>
      <c r="AF32" s="3">
        <v>33</v>
      </c>
      <c r="AG32" s="2"/>
      <c r="AH32" s="2" t="e">
        <f t="shared" si="37"/>
        <v>#DIV/0!</v>
      </c>
      <c r="AI32" s="2"/>
      <c r="AJ32" s="2" t="e">
        <f t="shared" si="38"/>
        <v>#DIV/0!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49"/>
      <c r="AX32" s="49"/>
      <c r="AY32" s="49"/>
      <c r="AZ32" s="2"/>
      <c r="BA32" s="43" t="s">
        <v>239</v>
      </c>
      <c r="BB32" s="2"/>
      <c r="BC32" s="2"/>
      <c r="BD32" s="3">
        <v>276</v>
      </c>
      <c r="BE32" s="2" t="e">
        <f t="shared" si="24"/>
        <v>#DIV/0!</v>
      </c>
      <c r="BF32" s="3">
        <v>239</v>
      </c>
      <c r="BG32" s="2" t="e">
        <f t="shared" si="25"/>
        <v>#DIV/0!</v>
      </c>
      <c r="BH32" s="3">
        <v>197</v>
      </c>
      <c r="BI32" s="2" t="e">
        <f t="shared" si="26"/>
        <v>#DIV/0!</v>
      </c>
      <c r="BJ32" s="3">
        <v>205</v>
      </c>
      <c r="BK32" s="2" t="e">
        <f t="shared" si="27"/>
        <v>#DIV/0!</v>
      </c>
      <c r="BL32" s="3">
        <v>146</v>
      </c>
      <c r="BM32" s="2" t="e">
        <f t="shared" si="28"/>
        <v>#DIV/0!</v>
      </c>
      <c r="BN32" s="3">
        <v>140</v>
      </c>
      <c r="BO32" s="2" t="e">
        <f t="shared" si="29"/>
        <v>#DIV/0!</v>
      </c>
      <c r="BP32" s="3">
        <v>128</v>
      </c>
      <c r="BQ32" s="2" t="e">
        <f t="shared" si="30"/>
        <v>#DIV/0!</v>
      </c>
      <c r="BR32" s="3">
        <v>126</v>
      </c>
      <c r="BS32" s="2" t="e">
        <f t="shared" si="31"/>
        <v>#DIV/0!</v>
      </c>
      <c r="BT32" s="3">
        <v>153</v>
      </c>
      <c r="BU32" s="2" t="e">
        <f t="shared" si="32"/>
        <v>#DIV/0!</v>
      </c>
      <c r="BV32" s="3">
        <v>178</v>
      </c>
      <c r="BW32" s="2" t="e">
        <f t="shared" si="14"/>
        <v>#DIV/0!</v>
      </c>
      <c r="BX32" s="2">
        <f t="shared" si="15"/>
        <v>0.7766497461928934</v>
      </c>
      <c r="BY32" s="2">
        <f t="shared" si="16"/>
        <v>0.86829268292682926</v>
      </c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15" t="e">
        <f t="shared" si="19"/>
        <v>#DIV/0!</v>
      </c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</row>
    <row r="33" spans="1:129" ht="14.25" customHeight="1" thickBot="1">
      <c r="A33" s="19" t="s">
        <v>192</v>
      </c>
      <c r="B33" s="16">
        <v>14</v>
      </c>
      <c r="C33" s="10" t="s">
        <v>148</v>
      </c>
      <c r="D33" s="10" t="s">
        <v>150</v>
      </c>
      <c r="E33" s="10" t="s">
        <v>153</v>
      </c>
      <c r="F33" s="21">
        <v>37076</v>
      </c>
      <c r="G33" s="12" t="s">
        <v>190</v>
      </c>
      <c r="H33" s="9">
        <v>24</v>
      </c>
      <c r="I33" s="2"/>
      <c r="J33" s="3">
        <v>175</v>
      </c>
      <c r="K33" s="3">
        <f t="shared" si="0"/>
        <v>0</v>
      </c>
      <c r="L33" s="13">
        <v>46199</v>
      </c>
      <c r="M33" s="3" t="s">
        <v>147</v>
      </c>
      <c r="N33" s="2"/>
      <c r="O33" s="3">
        <v>43.3</v>
      </c>
      <c r="P33" s="3">
        <v>40.799999999999997</v>
      </c>
      <c r="Q33" s="3">
        <v>8.1</v>
      </c>
      <c r="R33" s="3">
        <v>7.3</v>
      </c>
      <c r="S33" s="3">
        <v>8.6999999999999993</v>
      </c>
      <c r="T33" s="3">
        <v>10.1</v>
      </c>
      <c r="U33" s="3">
        <v>26.5</v>
      </c>
      <c r="V33" s="3">
        <v>22.6</v>
      </c>
      <c r="W33" s="3">
        <v>23.2</v>
      </c>
      <c r="X33" s="3">
        <v>23.7</v>
      </c>
      <c r="Y33" s="2">
        <f t="shared" si="1"/>
        <v>49.1</v>
      </c>
      <c r="Z33" s="2">
        <f t="shared" si="2"/>
        <v>46.9</v>
      </c>
      <c r="AA33" s="2">
        <f t="shared" si="3"/>
        <v>1.0469083155650321</v>
      </c>
      <c r="AB33" s="3">
        <v>20</v>
      </c>
      <c r="AC33" s="3">
        <v>16</v>
      </c>
      <c r="AD33" s="3">
        <v>11</v>
      </c>
      <c r="AE33" s="3">
        <v>11</v>
      </c>
      <c r="AF33" s="3">
        <v>35</v>
      </c>
      <c r="AG33" s="2"/>
      <c r="AH33" s="2" t="e">
        <f t="shared" si="37"/>
        <v>#DIV/0!</v>
      </c>
      <c r="AI33" s="2"/>
      <c r="AJ33" s="2" t="e">
        <f t="shared" si="38"/>
        <v>#DIV/0!</v>
      </c>
      <c r="AK33" s="2"/>
      <c r="AL33" s="2"/>
      <c r="AM33" s="3">
        <v>40</v>
      </c>
      <c r="AN33" s="3">
        <v>2097</v>
      </c>
      <c r="AO33" s="3">
        <v>16107</v>
      </c>
      <c r="AP33" s="3">
        <v>2.88</v>
      </c>
      <c r="AQ33" s="2"/>
      <c r="AR33" s="2"/>
      <c r="AS33" s="2"/>
      <c r="AT33" s="2"/>
      <c r="AU33" s="3">
        <v>16</v>
      </c>
      <c r="AV33" s="2"/>
      <c r="AW33" s="48"/>
      <c r="AX33" s="48"/>
      <c r="AY33" s="48"/>
      <c r="AZ33" s="2"/>
      <c r="BA33" s="43">
        <v>8.0368566619999999</v>
      </c>
      <c r="BB33" s="2"/>
      <c r="BC33" s="2"/>
      <c r="BD33" s="3">
        <v>215</v>
      </c>
      <c r="BE33" s="2" t="e">
        <f t="shared" si="24"/>
        <v>#DIV/0!</v>
      </c>
      <c r="BF33" s="3">
        <v>245</v>
      </c>
      <c r="BG33" s="2" t="e">
        <f t="shared" si="25"/>
        <v>#DIV/0!</v>
      </c>
      <c r="BH33" s="3">
        <v>158</v>
      </c>
      <c r="BI33" s="2" t="e">
        <f t="shared" si="26"/>
        <v>#DIV/0!</v>
      </c>
      <c r="BJ33" s="3">
        <v>181</v>
      </c>
      <c r="BK33" s="2" t="e">
        <f t="shared" si="27"/>
        <v>#DIV/0!</v>
      </c>
      <c r="BL33" s="3">
        <v>156</v>
      </c>
      <c r="BM33" s="2" t="e">
        <f t="shared" si="28"/>
        <v>#DIV/0!</v>
      </c>
      <c r="BN33" s="3">
        <v>172</v>
      </c>
      <c r="BO33" s="2" t="e">
        <f t="shared" si="29"/>
        <v>#DIV/0!</v>
      </c>
      <c r="BP33" s="3">
        <v>163</v>
      </c>
      <c r="BQ33" s="2" t="e">
        <f t="shared" si="30"/>
        <v>#DIV/0!</v>
      </c>
      <c r="BR33" s="3">
        <v>139</v>
      </c>
      <c r="BS33" s="2" t="e">
        <f t="shared" si="31"/>
        <v>#DIV/0!</v>
      </c>
      <c r="BT33" s="3">
        <v>201</v>
      </c>
      <c r="BU33" s="2" t="e">
        <f t="shared" si="32"/>
        <v>#DIV/0!</v>
      </c>
      <c r="BV33" s="3">
        <v>208</v>
      </c>
      <c r="BW33" s="2" t="e">
        <f t="shared" si="14"/>
        <v>#DIV/0!</v>
      </c>
      <c r="BX33" s="2">
        <f t="shared" si="15"/>
        <v>1.2721518987341771</v>
      </c>
      <c r="BY33" s="2">
        <f t="shared" si="16"/>
        <v>1.149171270718232</v>
      </c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15" t="e">
        <f t="shared" si="19"/>
        <v>#DIV/0!</v>
      </c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</row>
    <row r="34" spans="1:129" ht="14.25" customHeight="1" thickBot="1">
      <c r="A34" s="9" t="s">
        <v>193</v>
      </c>
      <c r="B34" s="10">
        <v>7</v>
      </c>
      <c r="C34" s="16" t="s">
        <v>148</v>
      </c>
      <c r="D34" s="16" t="s">
        <v>150</v>
      </c>
      <c r="E34" s="16" t="s">
        <v>153</v>
      </c>
      <c r="F34" s="17">
        <v>35169</v>
      </c>
      <c r="G34" s="18" t="s">
        <v>190</v>
      </c>
      <c r="H34" s="19">
        <v>30</v>
      </c>
      <c r="I34" s="2"/>
      <c r="J34" s="3">
        <v>170.6</v>
      </c>
      <c r="K34" s="3">
        <f t="shared" si="0"/>
        <v>0</v>
      </c>
      <c r="L34" s="13">
        <v>46199</v>
      </c>
      <c r="M34" s="3" t="s">
        <v>147</v>
      </c>
      <c r="N34" s="3">
        <v>1031</v>
      </c>
      <c r="O34" s="3">
        <v>17.3</v>
      </c>
      <c r="P34" s="3">
        <v>21.4</v>
      </c>
      <c r="Q34" s="3">
        <v>10.9</v>
      </c>
      <c r="R34" s="3">
        <v>8.6999999999999993</v>
      </c>
      <c r="S34" s="3">
        <v>9</v>
      </c>
      <c r="T34" s="3">
        <v>10.9</v>
      </c>
      <c r="U34" s="3">
        <v>17.899999999999999</v>
      </c>
      <c r="V34" s="3">
        <v>20.399999999999999</v>
      </c>
      <c r="W34" s="3">
        <v>25.1</v>
      </c>
      <c r="X34" s="3">
        <v>23.6</v>
      </c>
      <c r="Y34" s="2">
        <f t="shared" si="1"/>
        <v>38.299999999999997</v>
      </c>
      <c r="Z34" s="2">
        <f t="shared" si="2"/>
        <v>48.7</v>
      </c>
      <c r="AA34" s="2">
        <f t="shared" si="3"/>
        <v>0.78644763860369604</v>
      </c>
      <c r="AB34" s="3">
        <v>17</v>
      </c>
      <c r="AC34" s="3">
        <v>20</v>
      </c>
      <c r="AD34" s="3">
        <v>9</v>
      </c>
      <c r="AE34" s="3">
        <v>11</v>
      </c>
      <c r="AF34" s="3">
        <v>33.5</v>
      </c>
      <c r="AG34" s="2"/>
      <c r="AH34" s="2" t="e">
        <f t="shared" si="37"/>
        <v>#DIV/0!</v>
      </c>
      <c r="AI34" s="2"/>
      <c r="AJ34" s="2" t="e">
        <f t="shared" si="38"/>
        <v>#DIV/0!</v>
      </c>
      <c r="AK34" s="2"/>
      <c r="AL34" s="2"/>
      <c r="AM34" s="3">
        <v>32.4</v>
      </c>
      <c r="AN34" s="3">
        <v>1807</v>
      </c>
      <c r="AO34" s="3">
        <v>9103</v>
      </c>
      <c r="AP34" s="3">
        <v>2.15</v>
      </c>
      <c r="AQ34" s="2"/>
      <c r="AR34" s="2"/>
      <c r="AS34" s="2"/>
      <c r="AT34" s="2"/>
      <c r="AU34" s="3">
        <v>18</v>
      </c>
      <c r="AV34" s="2"/>
      <c r="AW34" s="49"/>
      <c r="AX34" s="49"/>
      <c r="AY34" s="49"/>
      <c r="AZ34" s="2"/>
      <c r="BA34" s="43">
        <v>9.2456632859999992</v>
      </c>
      <c r="BB34" s="2"/>
      <c r="BC34" s="2"/>
      <c r="BD34" s="3">
        <v>230</v>
      </c>
      <c r="BE34" s="2" t="e">
        <f t="shared" si="24"/>
        <v>#DIV/0!</v>
      </c>
      <c r="BF34" s="3">
        <v>145</v>
      </c>
      <c r="BG34" s="2" t="e">
        <f t="shared" si="25"/>
        <v>#DIV/0!</v>
      </c>
      <c r="BH34" s="3">
        <v>149</v>
      </c>
      <c r="BI34" s="2" t="e">
        <f t="shared" si="26"/>
        <v>#DIV/0!</v>
      </c>
      <c r="BJ34" s="3">
        <v>131</v>
      </c>
      <c r="BK34" s="2" t="e">
        <f t="shared" si="27"/>
        <v>#DIV/0!</v>
      </c>
      <c r="BL34" s="3">
        <v>108</v>
      </c>
      <c r="BM34" s="2" t="e">
        <f t="shared" si="28"/>
        <v>#DIV/0!</v>
      </c>
      <c r="BN34" s="3">
        <v>125</v>
      </c>
      <c r="BO34" s="2" t="e">
        <f t="shared" si="29"/>
        <v>#DIV/0!</v>
      </c>
      <c r="BP34" s="3">
        <v>84</v>
      </c>
      <c r="BQ34" s="2" t="e">
        <f t="shared" si="30"/>
        <v>#DIV/0!</v>
      </c>
      <c r="BR34" s="3">
        <v>125</v>
      </c>
      <c r="BS34" s="2" t="e">
        <f t="shared" si="31"/>
        <v>#DIV/0!</v>
      </c>
      <c r="BT34" s="3">
        <v>121</v>
      </c>
      <c r="BU34" s="2" t="e">
        <f t="shared" si="32"/>
        <v>#DIV/0!</v>
      </c>
      <c r="BV34" s="3">
        <v>123</v>
      </c>
      <c r="BW34" s="2" t="e">
        <f t="shared" si="14"/>
        <v>#DIV/0!</v>
      </c>
      <c r="BX34" s="2">
        <f t="shared" si="15"/>
        <v>0.81208053691275173</v>
      </c>
      <c r="BY34" s="2">
        <f t="shared" si="16"/>
        <v>0.93893129770992367</v>
      </c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15" t="e">
        <f t="shared" si="19"/>
        <v>#DIV/0!</v>
      </c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</row>
    <row r="35" spans="1:129" ht="14.25" customHeight="1" thickBot="1">
      <c r="A35" s="19" t="s">
        <v>194</v>
      </c>
      <c r="B35" s="16">
        <v>11</v>
      </c>
      <c r="C35" s="10" t="s">
        <v>148</v>
      </c>
      <c r="D35" s="10" t="s">
        <v>150</v>
      </c>
      <c r="E35" s="10" t="s">
        <v>151</v>
      </c>
      <c r="F35" s="21">
        <v>36725</v>
      </c>
      <c r="G35" s="12" t="s">
        <v>190</v>
      </c>
      <c r="H35" s="9">
        <v>25</v>
      </c>
      <c r="I35" s="2"/>
      <c r="J35" s="3">
        <v>191.2</v>
      </c>
      <c r="K35" s="3">
        <f t="shared" si="0"/>
        <v>0</v>
      </c>
      <c r="L35" s="13">
        <v>46199</v>
      </c>
      <c r="M35" s="3" t="s">
        <v>147</v>
      </c>
      <c r="N35" s="3">
        <v>1452</v>
      </c>
      <c r="O35" s="3">
        <v>35.799999999999997</v>
      </c>
      <c r="P35" s="3">
        <v>37.1</v>
      </c>
      <c r="Q35" s="3">
        <v>9.1</v>
      </c>
      <c r="R35" s="3">
        <v>11.6</v>
      </c>
      <c r="S35" s="3">
        <v>8.5</v>
      </c>
      <c r="T35" s="3">
        <v>12</v>
      </c>
      <c r="U35" s="3">
        <v>22.8</v>
      </c>
      <c r="V35" s="3">
        <v>23</v>
      </c>
      <c r="W35" s="3">
        <v>26.8</v>
      </c>
      <c r="X35" s="3">
        <v>27.2</v>
      </c>
      <c r="Y35" s="2">
        <f t="shared" si="1"/>
        <v>45.8</v>
      </c>
      <c r="Z35" s="2">
        <f t="shared" si="2"/>
        <v>54</v>
      </c>
      <c r="AA35" s="2">
        <f t="shared" si="3"/>
        <v>0.8481481481481481</v>
      </c>
      <c r="AB35" s="3">
        <v>15</v>
      </c>
      <c r="AC35" s="3">
        <v>14</v>
      </c>
      <c r="AD35" s="3">
        <v>10</v>
      </c>
      <c r="AE35" s="3">
        <v>8</v>
      </c>
      <c r="AF35" s="3">
        <v>13.6</v>
      </c>
      <c r="AG35" s="2"/>
      <c r="AH35" s="2" t="e">
        <f t="shared" si="37"/>
        <v>#DIV/0!</v>
      </c>
      <c r="AI35" s="2"/>
      <c r="AJ35" s="2" t="e">
        <f t="shared" si="38"/>
        <v>#DIV/0!</v>
      </c>
      <c r="AK35" s="2"/>
      <c r="AL35" s="2"/>
      <c r="AM35" s="3">
        <v>49.3</v>
      </c>
      <c r="AN35" s="3">
        <v>2017</v>
      </c>
      <c r="AO35" s="3">
        <v>16054</v>
      </c>
      <c r="AP35" s="3">
        <v>2.61</v>
      </c>
      <c r="AQ35" s="2"/>
      <c r="AR35" s="2"/>
      <c r="AS35" s="2"/>
      <c r="AT35" s="2"/>
      <c r="AU35" s="2"/>
      <c r="AV35" s="2"/>
      <c r="AW35" s="48"/>
      <c r="AX35" s="48"/>
      <c r="AY35" s="48"/>
      <c r="AZ35" s="2"/>
      <c r="BA35" s="43">
        <v>8.8582262860000007</v>
      </c>
      <c r="BB35" s="2"/>
      <c r="BC35" s="2"/>
      <c r="BD35" s="3">
        <v>236</v>
      </c>
      <c r="BE35" s="2" t="e">
        <f t="shared" si="24"/>
        <v>#DIV/0!</v>
      </c>
      <c r="BF35" s="3">
        <v>216</v>
      </c>
      <c r="BG35" s="2" t="e">
        <f t="shared" si="25"/>
        <v>#DIV/0!</v>
      </c>
      <c r="BH35" s="3">
        <v>186</v>
      </c>
      <c r="BI35" s="2" t="e">
        <f t="shared" si="26"/>
        <v>#DIV/0!</v>
      </c>
      <c r="BJ35" s="3">
        <v>199</v>
      </c>
      <c r="BK35" s="2" t="e">
        <f t="shared" si="27"/>
        <v>#DIV/0!</v>
      </c>
      <c r="BL35" s="3">
        <v>158</v>
      </c>
      <c r="BM35" s="2" t="e">
        <f t="shared" si="28"/>
        <v>#DIV/0!</v>
      </c>
      <c r="BN35" s="3">
        <v>186</v>
      </c>
      <c r="BO35" s="2" t="e">
        <f t="shared" si="29"/>
        <v>#DIV/0!</v>
      </c>
      <c r="BP35" s="3">
        <v>170</v>
      </c>
      <c r="BQ35" s="2" t="e">
        <f t="shared" si="30"/>
        <v>#DIV/0!</v>
      </c>
      <c r="BR35" s="3">
        <v>178</v>
      </c>
      <c r="BS35" s="2" t="e">
        <f t="shared" si="31"/>
        <v>#DIV/0!</v>
      </c>
      <c r="BT35" s="3">
        <v>188</v>
      </c>
      <c r="BU35" s="2" t="e">
        <f t="shared" si="32"/>
        <v>#DIV/0!</v>
      </c>
      <c r="BV35" s="3">
        <v>232</v>
      </c>
      <c r="BW35" s="2" t="e">
        <f t="shared" si="14"/>
        <v>#DIV/0!</v>
      </c>
      <c r="BX35" s="2">
        <f t="shared" si="15"/>
        <v>1.010752688172043</v>
      </c>
      <c r="BY35" s="2">
        <f t="shared" si="16"/>
        <v>1.1658291457286432</v>
      </c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15" t="e">
        <f t="shared" si="19"/>
        <v>#DIV/0!</v>
      </c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</row>
    <row r="36" spans="1:129" ht="14.25" customHeight="1" thickBot="1">
      <c r="A36" s="9" t="s">
        <v>195</v>
      </c>
      <c r="B36" s="10">
        <v>74</v>
      </c>
      <c r="C36" s="16" t="s">
        <v>148</v>
      </c>
      <c r="D36" s="16" t="s">
        <v>150</v>
      </c>
      <c r="E36" s="16" t="s">
        <v>151</v>
      </c>
      <c r="F36" s="27">
        <v>38702</v>
      </c>
      <c r="G36" s="18" t="s">
        <v>190</v>
      </c>
      <c r="H36" s="31">
        <v>20</v>
      </c>
      <c r="I36" s="2"/>
      <c r="J36" s="3">
        <v>186.2</v>
      </c>
      <c r="K36" s="3">
        <f t="shared" si="0"/>
        <v>0</v>
      </c>
      <c r="L36" s="13">
        <v>46199</v>
      </c>
      <c r="M36" s="3" t="s">
        <v>147</v>
      </c>
      <c r="N36" s="3">
        <v>1391</v>
      </c>
      <c r="O36" s="3">
        <v>31.9</v>
      </c>
      <c r="P36" s="3">
        <v>34.1</v>
      </c>
      <c r="Q36" s="3">
        <v>8.9</v>
      </c>
      <c r="R36" s="3">
        <v>14.6</v>
      </c>
      <c r="S36" s="3">
        <v>11.2</v>
      </c>
      <c r="T36" s="3">
        <v>13.1</v>
      </c>
      <c r="U36" s="3">
        <v>24.9</v>
      </c>
      <c r="V36" s="3">
        <v>22</v>
      </c>
      <c r="W36" s="3">
        <v>19.8</v>
      </c>
      <c r="X36" s="3">
        <v>19.399999999999999</v>
      </c>
      <c r="Y36" s="2">
        <f t="shared" si="1"/>
        <v>46.9</v>
      </c>
      <c r="Z36" s="2">
        <f t="shared" si="2"/>
        <v>39.200000000000003</v>
      </c>
      <c r="AA36" s="2">
        <f t="shared" si="3"/>
        <v>1.1964285714285714</v>
      </c>
      <c r="AB36" s="3">
        <v>18</v>
      </c>
      <c r="AC36" s="3">
        <v>22</v>
      </c>
      <c r="AD36" s="3">
        <v>17</v>
      </c>
      <c r="AE36" s="3">
        <v>13</v>
      </c>
      <c r="AF36" s="3">
        <v>29.5</v>
      </c>
      <c r="AG36" s="2"/>
      <c r="AH36" s="2" t="e">
        <f t="shared" si="37"/>
        <v>#DIV/0!</v>
      </c>
      <c r="AI36" s="2"/>
      <c r="AJ36" s="2" t="e">
        <f t="shared" si="38"/>
        <v>#DIV/0!</v>
      </c>
      <c r="AK36" s="2"/>
      <c r="AL36" s="2"/>
      <c r="AM36" s="3">
        <v>40.200000000000003</v>
      </c>
      <c r="AN36" s="3">
        <v>1890</v>
      </c>
      <c r="AO36" s="3">
        <v>7452</v>
      </c>
      <c r="AP36" s="3">
        <v>1.96</v>
      </c>
      <c r="AQ36" s="2"/>
      <c r="AR36" s="2"/>
      <c r="AS36" s="2"/>
      <c r="AT36" s="2"/>
      <c r="AU36" s="3">
        <v>16</v>
      </c>
      <c r="AV36" s="2"/>
      <c r="AW36" s="49"/>
      <c r="AX36" s="49"/>
      <c r="AY36" s="49"/>
      <c r="AZ36" s="2"/>
      <c r="BA36" s="43">
        <v>9.4802367939999996</v>
      </c>
      <c r="BB36" s="2"/>
      <c r="BC36" s="2"/>
      <c r="BD36" s="3">
        <v>271</v>
      </c>
      <c r="BE36" s="2" t="e">
        <f t="shared" si="24"/>
        <v>#DIV/0!</v>
      </c>
      <c r="BF36" s="3">
        <v>258</v>
      </c>
      <c r="BG36" s="2" t="e">
        <f t="shared" si="25"/>
        <v>#DIV/0!</v>
      </c>
      <c r="BH36" s="3">
        <v>180</v>
      </c>
      <c r="BI36" s="2" t="e">
        <f t="shared" si="26"/>
        <v>#DIV/0!</v>
      </c>
      <c r="BJ36" s="3">
        <v>180</v>
      </c>
      <c r="BK36" s="2" t="e">
        <f t="shared" si="27"/>
        <v>#DIV/0!</v>
      </c>
      <c r="BL36" s="3">
        <v>133</v>
      </c>
      <c r="BM36" s="2" t="e">
        <f t="shared" si="28"/>
        <v>#DIV/0!</v>
      </c>
      <c r="BN36" s="3">
        <v>124</v>
      </c>
      <c r="BO36" s="2" t="e">
        <f t="shared" si="29"/>
        <v>#DIV/0!</v>
      </c>
      <c r="BP36" s="3">
        <v>108</v>
      </c>
      <c r="BQ36" s="2" t="e">
        <f t="shared" si="30"/>
        <v>#DIV/0!</v>
      </c>
      <c r="BR36" s="3">
        <v>124</v>
      </c>
      <c r="BS36" s="2" t="e">
        <f t="shared" si="31"/>
        <v>#DIV/0!</v>
      </c>
      <c r="BT36" s="3">
        <v>200</v>
      </c>
      <c r="BU36" s="2" t="e">
        <f t="shared" si="32"/>
        <v>#DIV/0!</v>
      </c>
      <c r="BV36" s="3">
        <v>181</v>
      </c>
      <c r="BW36" s="2" t="e">
        <f t="shared" si="14"/>
        <v>#DIV/0!</v>
      </c>
      <c r="BX36" s="2">
        <f t="shared" si="15"/>
        <v>1.1111111111111112</v>
      </c>
      <c r="BY36" s="2">
        <f t="shared" si="16"/>
        <v>1.0055555555555555</v>
      </c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15" t="e">
        <f t="shared" si="19"/>
        <v>#DIV/0!</v>
      </c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</row>
    <row r="37" spans="1:129" ht="14.25" customHeight="1" thickBot="1">
      <c r="A37" s="32" t="s">
        <v>196</v>
      </c>
      <c r="B37" s="3">
        <v>80</v>
      </c>
      <c r="C37" s="3" t="s">
        <v>148</v>
      </c>
      <c r="D37" s="16" t="s">
        <v>167</v>
      </c>
      <c r="E37" s="3" t="s">
        <v>168</v>
      </c>
      <c r="F37" s="13">
        <v>39161</v>
      </c>
      <c r="G37" s="12" t="s">
        <v>190</v>
      </c>
      <c r="H37" s="20">
        <v>19</v>
      </c>
      <c r="I37" s="3">
        <v>74.5</v>
      </c>
      <c r="J37" s="3">
        <v>192.8</v>
      </c>
      <c r="K37" s="3">
        <f t="shared" si="0"/>
        <v>0</v>
      </c>
      <c r="L37" s="13">
        <v>46199</v>
      </c>
      <c r="M37" s="3" t="s">
        <v>147</v>
      </c>
      <c r="N37" s="2"/>
      <c r="O37" s="3">
        <v>30.5</v>
      </c>
      <c r="P37" s="3">
        <v>24.5</v>
      </c>
      <c r="Q37" s="3">
        <v>12.4</v>
      </c>
      <c r="R37" s="3">
        <v>10.9</v>
      </c>
      <c r="S37" s="3">
        <v>10.199999999999999</v>
      </c>
      <c r="T37" s="3">
        <v>8.9</v>
      </c>
      <c r="U37" s="3">
        <v>30.1</v>
      </c>
      <c r="V37" s="3">
        <v>25.9</v>
      </c>
      <c r="W37" s="3">
        <v>15.3</v>
      </c>
      <c r="X37" s="3">
        <v>16.5</v>
      </c>
      <c r="Y37" s="2">
        <f t="shared" si="1"/>
        <v>56</v>
      </c>
      <c r="Z37" s="2">
        <f t="shared" si="2"/>
        <v>31.8</v>
      </c>
      <c r="AA37" s="2">
        <f t="shared" si="3"/>
        <v>1.7610062893081762</v>
      </c>
      <c r="AB37" s="3">
        <v>14</v>
      </c>
      <c r="AC37" s="3">
        <v>17</v>
      </c>
      <c r="AD37" s="3">
        <v>7</v>
      </c>
      <c r="AE37" s="3">
        <v>7</v>
      </c>
      <c r="AF37" s="3">
        <v>24</v>
      </c>
      <c r="AG37" s="2"/>
      <c r="AH37" s="2">
        <f t="shared" si="37"/>
        <v>0</v>
      </c>
      <c r="AI37" s="2"/>
      <c r="AJ37" s="2">
        <f t="shared" si="38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48"/>
      <c r="AX37" s="48"/>
      <c r="AY37" s="48"/>
      <c r="AZ37" s="3">
        <v>7.64</v>
      </c>
      <c r="BA37" s="43">
        <v>8.6503817969999997</v>
      </c>
      <c r="BB37" s="2"/>
      <c r="BC37" s="2"/>
      <c r="BD37" s="3">
        <v>249.9</v>
      </c>
      <c r="BE37" s="2">
        <f t="shared" si="24"/>
        <v>3.3543624161073828</v>
      </c>
      <c r="BF37" s="3">
        <v>246.4</v>
      </c>
      <c r="BG37" s="2">
        <f t="shared" si="25"/>
        <v>3.3073825503355705</v>
      </c>
      <c r="BH37" s="3">
        <v>175</v>
      </c>
      <c r="BI37" s="2">
        <f t="shared" si="26"/>
        <v>2.348993288590604</v>
      </c>
      <c r="BJ37" s="3">
        <v>186</v>
      </c>
      <c r="BK37" s="2">
        <f t="shared" si="27"/>
        <v>2.4966442953020134</v>
      </c>
      <c r="BL37" s="3">
        <v>137.1</v>
      </c>
      <c r="BM37" s="2">
        <f t="shared" si="28"/>
        <v>1.8402684563758389</v>
      </c>
      <c r="BN37" s="3">
        <v>125</v>
      </c>
      <c r="BO37" s="2">
        <f t="shared" si="29"/>
        <v>1.6778523489932886</v>
      </c>
      <c r="BP37" s="3">
        <v>143</v>
      </c>
      <c r="BQ37" s="2">
        <f t="shared" si="30"/>
        <v>1.919463087248322</v>
      </c>
      <c r="BR37" s="3">
        <v>87</v>
      </c>
      <c r="BS37" s="2">
        <f t="shared" si="31"/>
        <v>1.1677852348993289</v>
      </c>
      <c r="BT37" s="3">
        <v>168</v>
      </c>
      <c r="BU37" s="2">
        <f t="shared" si="32"/>
        <v>2.2550335570469797</v>
      </c>
      <c r="BV37" s="3">
        <v>164</v>
      </c>
      <c r="BW37" s="2">
        <f t="shared" si="14"/>
        <v>2.2013422818791946</v>
      </c>
      <c r="BX37" s="2">
        <f t="shared" si="15"/>
        <v>0.96</v>
      </c>
      <c r="BY37" s="2">
        <f t="shared" si="16"/>
        <v>0.88172043010752688</v>
      </c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15" t="e">
        <f t="shared" si="19"/>
        <v>#DIV/0!</v>
      </c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</row>
    <row r="38" spans="1:129" ht="14.25" customHeight="1" thickBot="1">
      <c r="A38" s="32" t="s">
        <v>197</v>
      </c>
      <c r="B38" s="3">
        <v>61</v>
      </c>
      <c r="C38" s="3" t="s">
        <v>148</v>
      </c>
      <c r="D38" s="10" t="s">
        <v>159</v>
      </c>
      <c r="E38" s="3" t="s">
        <v>173</v>
      </c>
      <c r="F38" s="13">
        <v>38689</v>
      </c>
      <c r="G38" s="18" t="s">
        <v>190</v>
      </c>
      <c r="H38" s="28">
        <v>20</v>
      </c>
      <c r="I38" s="3">
        <v>78.7</v>
      </c>
      <c r="J38" s="3">
        <v>193</v>
      </c>
      <c r="K38" s="3">
        <f t="shared" si="0"/>
        <v>36.5</v>
      </c>
      <c r="L38" s="13">
        <v>46199</v>
      </c>
      <c r="M38" s="3" t="s">
        <v>147</v>
      </c>
      <c r="N38" s="3">
        <v>1280</v>
      </c>
      <c r="O38" s="3">
        <v>32.9</v>
      </c>
      <c r="P38" s="3">
        <v>32.700000000000003</v>
      </c>
      <c r="Q38" s="3">
        <v>14</v>
      </c>
      <c r="R38" s="3">
        <v>15.8</v>
      </c>
      <c r="S38" s="3">
        <v>11.8</v>
      </c>
      <c r="T38" s="3">
        <v>14</v>
      </c>
      <c r="U38" s="3">
        <v>26.3</v>
      </c>
      <c r="V38" s="3">
        <v>27.5</v>
      </c>
      <c r="W38" s="3">
        <v>23.1</v>
      </c>
      <c r="X38" s="3">
        <v>24.6</v>
      </c>
      <c r="Y38" s="2">
        <f t="shared" si="1"/>
        <v>53.8</v>
      </c>
      <c r="Z38" s="2">
        <f t="shared" si="2"/>
        <v>47.7</v>
      </c>
      <c r="AA38" s="2">
        <f t="shared" si="3"/>
        <v>1.1278825995807127</v>
      </c>
      <c r="AB38" s="3">
        <v>13</v>
      </c>
      <c r="AC38" s="3">
        <v>17</v>
      </c>
      <c r="AD38" s="3">
        <v>17</v>
      </c>
      <c r="AE38" s="3">
        <v>16</v>
      </c>
      <c r="AF38" s="3">
        <v>18</v>
      </c>
      <c r="AG38" s="3">
        <v>193</v>
      </c>
      <c r="AH38" s="2">
        <f t="shared" si="37"/>
        <v>2.4523506988564168</v>
      </c>
      <c r="AI38" s="2"/>
      <c r="AJ38" s="2">
        <f t="shared" si="38"/>
        <v>0</v>
      </c>
      <c r="AK38" s="2"/>
      <c r="AL38" s="2"/>
      <c r="AM38" s="3">
        <v>34.299999999999997</v>
      </c>
      <c r="AN38" s="3">
        <v>2026</v>
      </c>
      <c r="AO38" s="3">
        <v>20384</v>
      </c>
      <c r="AP38" s="3">
        <v>2.25</v>
      </c>
      <c r="AQ38" s="3">
        <v>4149</v>
      </c>
      <c r="AR38" s="2"/>
      <c r="AS38" s="2"/>
      <c r="AT38" s="2"/>
      <c r="AU38" s="3">
        <v>17.5</v>
      </c>
      <c r="AV38" s="2"/>
      <c r="AW38" s="50"/>
      <c r="AX38" s="50"/>
      <c r="AY38" s="50"/>
      <c r="AZ38" s="3">
        <v>7.25</v>
      </c>
      <c r="BA38" s="43">
        <v>8.023633061</v>
      </c>
      <c r="BB38" s="2"/>
      <c r="BC38" s="2"/>
      <c r="BD38" s="3">
        <v>274</v>
      </c>
      <c r="BE38" s="2">
        <f t="shared" si="24"/>
        <v>3.4815756035578143</v>
      </c>
      <c r="BF38" s="3">
        <v>276</v>
      </c>
      <c r="BG38" s="2">
        <f t="shared" si="25"/>
        <v>3.5069885641677252</v>
      </c>
      <c r="BH38" s="3">
        <v>185</v>
      </c>
      <c r="BI38" s="2">
        <f t="shared" si="26"/>
        <v>2.3506988564167726</v>
      </c>
      <c r="BJ38" s="3">
        <v>167</v>
      </c>
      <c r="BK38" s="2">
        <f t="shared" si="27"/>
        <v>2.1219822109275728</v>
      </c>
      <c r="BL38" s="3">
        <v>162</v>
      </c>
      <c r="BM38" s="2">
        <f t="shared" si="28"/>
        <v>2.0584498094027954</v>
      </c>
      <c r="BN38" s="3">
        <v>180</v>
      </c>
      <c r="BO38" s="2">
        <f t="shared" si="29"/>
        <v>2.2871664548919948</v>
      </c>
      <c r="BP38" s="3">
        <v>150</v>
      </c>
      <c r="BQ38" s="2">
        <f t="shared" si="30"/>
        <v>1.9059720457433291</v>
      </c>
      <c r="BR38" s="3">
        <v>186</v>
      </c>
      <c r="BS38" s="2">
        <f t="shared" si="31"/>
        <v>2.363405336721728</v>
      </c>
      <c r="BT38" s="3">
        <v>184</v>
      </c>
      <c r="BU38" s="2">
        <f t="shared" si="32"/>
        <v>2.3379923761118171</v>
      </c>
      <c r="BV38" s="3">
        <v>247</v>
      </c>
      <c r="BW38" s="2">
        <f t="shared" si="14"/>
        <v>3.1385006353240152</v>
      </c>
      <c r="BX38" s="2">
        <f t="shared" si="15"/>
        <v>0.99459459459459465</v>
      </c>
      <c r="BY38" s="2">
        <f t="shared" si="16"/>
        <v>1.4790419161676647</v>
      </c>
      <c r="BZ38" s="3">
        <v>4</v>
      </c>
      <c r="CA38" s="3">
        <v>6.5</v>
      </c>
      <c r="CB38" s="3">
        <v>1.5</v>
      </c>
      <c r="CC38" s="3">
        <v>8</v>
      </c>
      <c r="CD38" s="3">
        <v>4</v>
      </c>
      <c r="CE38" s="3">
        <v>4.5</v>
      </c>
      <c r="CF38" s="3">
        <v>5</v>
      </c>
      <c r="CG38" s="3">
        <v>3</v>
      </c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15" t="e">
        <f t="shared" si="19"/>
        <v>#DIV/0!</v>
      </c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</row>
    <row r="39" spans="1:129" ht="14.25" customHeight="1" thickBot="1">
      <c r="A39" s="32" t="s">
        <v>198</v>
      </c>
      <c r="B39" s="3">
        <v>77</v>
      </c>
      <c r="C39" s="3" t="s">
        <v>148</v>
      </c>
      <c r="D39" s="16" t="s">
        <v>150</v>
      </c>
      <c r="E39" s="3" t="s">
        <v>199</v>
      </c>
      <c r="F39" s="33">
        <v>39013</v>
      </c>
      <c r="G39" s="12" t="s">
        <v>190</v>
      </c>
      <c r="H39" s="18">
        <v>19</v>
      </c>
      <c r="I39" s="3">
        <v>76.599999999999994</v>
      </c>
      <c r="J39" s="3">
        <v>188.4</v>
      </c>
      <c r="K39" s="3">
        <f t="shared" si="0"/>
        <v>45.5</v>
      </c>
      <c r="L39" s="13">
        <v>46199</v>
      </c>
      <c r="M39" s="3" t="s">
        <v>147</v>
      </c>
      <c r="N39" s="3">
        <v>1282</v>
      </c>
      <c r="O39" s="3">
        <v>33.4</v>
      </c>
      <c r="P39" s="3">
        <v>42.6</v>
      </c>
      <c r="Q39" s="3">
        <v>10.7</v>
      </c>
      <c r="R39" s="3">
        <v>11.7</v>
      </c>
      <c r="S39" s="3">
        <v>12.1</v>
      </c>
      <c r="T39" s="3">
        <v>13.2</v>
      </c>
      <c r="U39" s="3">
        <v>30.4</v>
      </c>
      <c r="V39" s="3">
        <v>31.5</v>
      </c>
      <c r="W39" s="3">
        <v>26.1</v>
      </c>
      <c r="X39" s="3">
        <v>23.5</v>
      </c>
      <c r="Y39" s="2">
        <f t="shared" si="1"/>
        <v>61.9</v>
      </c>
      <c r="Z39" s="2">
        <f t="shared" si="2"/>
        <v>49.6</v>
      </c>
      <c r="AA39" s="2">
        <f t="shared" si="3"/>
        <v>1.2479838709677418</v>
      </c>
      <c r="AB39" s="3">
        <v>14</v>
      </c>
      <c r="AC39" s="3">
        <v>17</v>
      </c>
      <c r="AD39" s="3">
        <v>11</v>
      </c>
      <c r="AE39" s="3">
        <v>11.5</v>
      </c>
      <c r="AF39" s="3">
        <v>24</v>
      </c>
      <c r="AG39" s="2"/>
      <c r="AH39" s="2">
        <f t="shared" si="37"/>
        <v>0</v>
      </c>
      <c r="AI39" s="2"/>
      <c r="AJ39" s="2">
        <f t="shared" si="38"/>
        <v>0</v>
      </c>
      <c r="AK39" s="2"/>
      <c r="AL39" s="2"/>
      <c r="AM39" s="3">
        <v>34.4</v>
      </c>
      <c r="AN39" s="3">
        <v>1946.5</v>
      </c>
      <c r="AO39" s="3">
        <v>14319</v>
      </c>
      <c r="AP39" s="3">
        <v>2.81</v>
      </c>
      <c r="AQ39" s="3">
        <v>4222</v>
      </c>
      <c r="AR39" s="2"/>
      <c r="AS39" s="2"/>
      <c r="AT39" s="2"/>
      <c r="AU39" s="3">
        <v>18.5</v>
      </c>
      <c r="AV39" s="2"/>
      <c r="AW39" s="51"/>
      <c r="AX39" s="51"/>
      <c r="AY39" s="51"/>
      <c r="AZ39" s="3">
        <v>6.93</v>
      </c>
      <c r="BA39" s="43">
        <v>8.376408692</v>
      </c>
      <c r="BB39" s="2"/>
      <c r="BC39" s="2"/>
      <c r="BD39" s="3">
        <v>245</v>
      </c>
      <c r="BE39" s="2">
        <f t="shared" si="24"/>
        <v>3.1984334203655354</v>
      </c>
      <c r="BF39" s="3">
        <v>225</v>
      </c>
      <c r="BG39" s="2">
        <f t="shared" si="25"/>
        <v>2.9373368146214101</v>
      </c>
      <c r="BH39" s="3">
        <v>151</v>
      </c>
      <c r="BI39" s="2">
        <f t="shared" si="26"/>
        <v>1.9712793733681464</v>
      </c>
      <c r="BJ39" s="3">
        <v>148</v>
      </c>
      <c r="BK39" s="2">
        <f t="shared" si="27"/>
        <v>1.9321148825065275</v>
      </c>
      <c r="BL39" s="3">
        <v>125</v>
      </c>
      <c r="BM39" s="2">
        <f t="shared" si="28"/>
        <v>1.6318537859007833</v>
      </c>
      <c r="BN39" s="3">
        <v>142</v>
      </c>
      <c r="BO39" s="2">
        <f t="shared" si="29"/>
        <v>1.85378590078329</v>
      </c>
      <c r="BP39" s="3">
        <v>169</v>
      </c>
      <c r="BQ39" s="2">
        <f t="shared" si="30"/>
        <v>2.206266318537859</v>
      </c>
      <c r="BR39" s="3">
        <v>179</v>
      </c>
      <c r="BS39" s="2">
        <f t="shared" si="31"/>
        <v>2.3368146214099217</v>
      </c>
      <c r="BT39" s="2"/>
      <c r="BU39" s="2">
        <f t="shared" si="32"/>
        <v>0</v>
      </c>
      <c r="BV39" s="2"/>
      <c r="BW39" s="2">
        <f t="shared" si="14"/>
        <v>0</v>
      </c>
      <c r="BX39" s="2">
        <f t="shared" si="15"/>
        <v>0</v>
      </c>
      <c r="BY39" s="2">
        <f t="shared" si="16"/>
        <v>0</v>
      </c>
      <c r="BZ39" s="3">
        <v>6.5</v>
      </c>
      <c r="CA39" s="3">
        <v>5.5</v>
      </c>
      <c r="CB39" s="3">
        <v>2.5</v>
      </c>
      <c r="CC39" s="3">
        <v>9</v>
      </c>
      <c r="CD39" s="3">
        <v>4</v>
      </c>
      <c r="CE39" s="3">
        <v>6</v>
      </c>
      <c r="CF39" s="3">
        <v>7</v>
      </c>
      <c r="CG39" s="3">
        <v>5</v>
      </c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15" t="e">
        <f t="shared" si="19"/>
        <v>#DIV/0!</v>
      </c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</row>
    <row r="40" spans="1:129" ht="14.25" customHeight="1" thickBot="1">
      <c r="A40" s="34" t="s">
        <v>200</v>
      </c>
      <c r="B40" s="3">
        <v>63</v>
      </c>
      <c r="C40" s="3" t="s">
        <v>148</v>
      </c>
      <c r="D40" s="16" t="s">
        <v>144</v>
      </c>
      <c r="E40" s="3" t="s">
        <v>171</v>
      </c>
      <c r="F40" s="33">
        <v>37600</v>
      </c>
      <c r="G40" s="18" t="s">
        <v>190</v>
      </c>
      <c r="H40" s="28">
        <v>23</v>
      </c>
      <c r="I40" s="3">
        <v>93</v>
      </c>
      <c r="J40" s="3">
        <v>190.5</v>
      </c>
      <c r="K40" s="3">
        <f t="shared" si="0"/>
        <v>0</v>
      </c>
      <c r="L40" s="13">
        <v>46199</v>
      </c>
      <c r="M40" s="3" t="s">
        <v>147</v>
      </c>
      <c r="N40" s="3">
        <v>1351</v>
      </c>
      <c r="O40" s="3">
        <v>44.8</v>
      </c>
      <c r="P40" s="3">
        <v>42.6</v>
      </c>
      <c r="Q40" s="3">
        <v>11</v>
      </c>
      <c r="R40" s="3">
        <v>9.6</v>
      </c>
      <c r="S40" s="3">
        <v>13.5</v>
      </c>
      <c r="T40" s="3">
        <v>12.3</v>
      </c>
      <c r="U40" s="3">
        <v>22.2</v>
      </c>
      <c r="V40" s="3">
        <v>21</v>
      </c>
      <c r="W40" s="3">
        <v>24.6</v>
      </c>
      <c r="X40" s="3">
        <v>26.6</v>
      </c>
      <c r="Y40" s="2">
        <f t="shared" si="1"/>
        <v>43.2</v>
      </c>
      <c r="Z40" s="2">
        <f t="shared" si="2"/>
        <v>51.2</v>
      </c>
      <c r="AA40" s="2">
        <f t="shared" si="3"/>
        <v>0.84375</v>
      </c>
      <c r="AB40" s="3">
        <v>16</v>
      </c>
      <c r="AC40" s="3">
        <v>20</v>
      </c>
      <c r="AD40" s="3">
        <v>6</v>
      </c>
      <c r="AE40" s="3">
        <v>5</v>
      </c>
      <c r="AF40" s="3">
        <v>2</v>
      </c>
      <c r="AG40" s="2"/>
      <c r="AH40" s="2">
        <f t="shared" si="37"/>
        <v>0</v>
      </c>
      <c r="AI40" s="2"/>
      <c r="AJ40" s="2">
        <f t="shared" si="38"/>
        <v>0</v>
      </c>
      <c r="AK40" s="2"/>
      <c r="AL40" s="2"/>
      <c r="AM40" s="3">
        <v>39.5</v>
      </c>
      <c r="AN40" s="3">
        <v>2576</v>
      </c>
      <c r="AO40" s="3">
        <v>20548</v>
      </c>
      <c r="AP40" s="3">
        <v>3.03</v>
      </c>
      <c r="AQ40" s="3">
        <v>5564</v>
      </c>
      <c r="AR40" s="2"/>
      <c r="AS40" s="2"/>
      <c r="AT40" s="2"/>
      <c r="AU40" s="3">
        <v>16</v>
      </c>
      <c r="AV40" s="2"/>
      <c r="AW40" s="50"/>
      <c r="AX40" s="50"/>
      <c r="AY40" s="50"/>
      <c r="AZ40" s="3">
        <v>6.72</v>
      </c>
      <c r="BA40" s="43">
        <v>7.6131635089999996</v>
      </c>
      <c r="BB40" s="2"/>
      <c r="BC40" s="2"/>
      <c r="BD40" s="3">
        <v>290</v>
      </c>
      <c r="BE40" s="2">
        <f t="shared" si="24"/>
        <v>3.118279569892473</v>
      </c>
      <c r="BF40" s="3">
        <v>209</v>
      </c>
      <c r="BG40" s="2">
        <f t="shared" si="25"/>
        <v>2.247311827956989</v>
      </c>
      <c r="BH40" s="3">
        <v>228</v>
      </c>
      <c r="BI40" s="2">
        <f t="shared" si="26"/>
        <v>2.4516129032258065</v>
      </c>
      <c r="BJ40" s="3">
        <v>206</v>
      </c>
      <c r="BK40" s="2">
        <f t="shared" si="27"/>
        <v>2.21505376344086</v>
      </c>
      <c r="BL40" s="3">
        <v>143</v>
      </c>
      <c r="BM40" s="2">
        <f t="shared" si="28"/>
        <v>1.5376344086021505</v>
      </c>
      <c r="BN40" s="3">
        <v>142</v>
      </c>
      <c r="BO40" s="2">
        <f t="shared" si="29"/>
        <v>1.5268817204301075</v>
      </c>
      <c r="BP40" s="3">
        <v>208</v>
      </c>
      <c r="BQ40" s="2">
        <f t="shared" si="30"/>
        <v>2.236559139784946</v>
      </c>
      <c r="BR40" s="3">
        <v>143</v>
      </c>
      <c r="BS40" s="2">
        <f t="shared" si="31"/>
        <v>1.5376344086021505</v>
      </c>
      <c r="BT40" s="3">
        <v>186</v>
      </c>
      <c r="BU40" s="2">
        <f t="shared" si="32"/>
        <v>2</v>
      </c>
      <c r="BV40" s="3">
        <v>171</v>
      </c>
      <c r="BW40" s="2">
        <f t="shared" si="14"/>
        <v>1.8387096774193548</v>
      </c>
      <c r="BX40" s="2">
        <f t="shared" si="15"/>
        <v>0.81578947368421051</v>
      </c>
      <c r="BY40" s="2">
        <f t="shared" si="16"/>
        <v>0.83009708737864074</v>
      </c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15" t="e">
        <f t="shared" si="19"/>
        <v>#DIV/0!</v>
      </c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</row>
    <row r="41" spans="1:129" ht="14.25" customHeight="1" thickBot="1">
      <c r="A41" s="35" t="s">
        <v>201</v>
      </c>
      <c r="B41" s="3">
        <v>66</v>
      </c>
      <c r="C41" s="3" t="s">
        <v>148</v>
      </c>
      <c r="D41" s="16" t="s">
        <v>144</v>
      </c>
      <c r="E41" s="3" t="s">
        <v>171</v>
      </c>
      <c r="F41" s="13">
        <v>39083</v>
      </c>
      <c r="G41" s="12" t="s">
        <v>190</v>
      </c>
      <c r="H41" s="20">
        <v>19</v>
      </c>
      <c r="I41" s="3">
        <v>81.400000000000006</v>
      </c>
      <c r="J41" s="3">
        <v>186.5</v>
      </c>
      <c r="K41" s="3">
        <f t="shared" si="0"/>
        <v>0</v>
      </c>
      <c r="L41" s="13">
        <v>46199</v>
      </c>
      <c r="M41" s="3" t="s">
        <v>147</v>
      </c>
      <c r="N41" s="3">
        <v>1216</v>
      </c>
      <c r="O41" s="3">
        <v>40.1</v>
      </c>
      <c r="P41" s="3">
        <v>41.9</v>
      </c>
      <c r="Q41" s="3">
        <v>9.1999999999999993</v>
      </c>
      <c r="R41" s="3">
        <v>11.6</v>
      </c>
      <c r="S41" s="3">
        <v>14.8</v>
      </c>
      <c r="T41" s="3">
        <v>13.1</v>
      </c>
      <c r="U41" s="3"/>
      <c r="V41" s="2"/>
      <c r="W41" s="3">
        <v>20</v>
      </c>
      <c r="X41" s="3">
        <v>21</v>
      </c>
      <c r="Y41" s="2">
        <f t="shared" si="1"/>
        <v>0</v>
      </c>
      <c r="Z41" s="2">
        <f t="shared" si="2"/>
        <v>41</v>
      </c>
      <c r="AA41" s="2">
        <f t="shared" si="3"/>
        <v>0</v>
      </c>
      <c r="AB41" s="3">
        <v>16</v>
      </c>
      <c r="AC41" s="3">
        <v>16</v>
      </c>
      <c r="AD41" s="3">
        <v>10</v>
      </c>
      <c r="AE41" s="3">
        <v>9</v>
      </c>
      <c r="AF41" s="3">
        <v>18</v>
      </c>
      <c r="AG41" s="2"/>
      <c r="AH41" s="2">
        <f t="shared" si="37"/>
        <v>0</v>
      </c>
      <c r="AI41" s="2"/>
      <c r="AJ41" s="2">
        <f t="shared" si="38"/>
        <v>0</v>
      </c>
      <c r="AK41" s="2"/>
      <c r="AL41" s="2"/>
      <c r="AM41" s="3">
        <v>38.6</v>
      </c>
      <c r="AN41" s="3">
        <v>2056</v>
      </c>
      <c r="AO41" s="3">
        <v>10880</v>
      </c>
      <c r="AP41" s="3">
        <v>2.78</v>
      </c>
      <c r="AQ41" s="2"/>
      <c r="AR41" s="2"/>
      <c r="AS41" s="2"/>
      <c r="AT41" s="2"/>
      <c r="AU41" s="3">
        <v>17</v>
      </c>
      <c r="AV41" s="2"/>
      <c r="AW41" s="48"/>
      <c r="AX41" s="48"/>
      <c r="AY41" s="48"/>
      <c r="AZ41" s="3">
        <v>7.17</v>
      </c>
      <c r="BA41" s="43">
        <v>9.5992924990000006</v>
      </c>
      <c r="BB41" s="2"/>
      <c r="BC41" s="2"/>
      <c r="BD41" s="3">
        <v>339</v>
      </c>
      <c r="BE41" s="2">
        <f t="shared" si="24"/>
        <v>4.1646191646191646</v>
      </c>
      <c r="BF41" s="3">
        <v>316</v>
      </c>
      <c r="BG41" s="2">
        <f t="shared" si="25"/>
        <v>3.882063882063882</v>
      </c>
      <c r="BH41" s="3">
        <v>203</v>
      </c>
      <c r="BI41" s="2">
        <f t="shared" si="26"/>
        <v>2.4938574938574938</v>
      </c>
      <c r="BJ41" s="3">
        <v>195</v>
      </c>
      <c r="BK41" s="2">
        <f t="shared" si="27"/>
        <v>2.3955773955773956</v>
      </c>
      <c r="BL41" s="3">
        <v>184</v>
      </c>
      <c r="BM41" s="2">
        <f t="shared" si="28"/>
        <v>2.2604422604422605</v>
      </c>
      <c r="BN41" s="3">
        <v>143</v>
      </c>
      <c r="BO41" s="2">
        <f t="shared" si="29"/>
        <v>1.7567567567567566</v>
      </c>
      <c r="BP41" s="3">
        <v>127</v>
      </c>
      <c r="BQ41" s="2">
        <f t="shared" si="30"/>
        <v>1.5601965601965602</v>
      </c>
      <c r="BR41" s="3">
        <v>131</v>
      </c>
      <c r="BS41" s="2">
        <f t="shared" si="31"/>
        <v>1.6093366093366093</v>
      </c>
      <c r="BT41" s="3">
        <v>198</v>
      </c>
      <c r="BU41" s="2">
        <f t="shared" si="32"/>
        <v>2.4324324324324325</v>
      </c>
      <c r="BV41" s="3">
        <v>206</v>
      </c>
      <c r="BW41" s="2">
        <f t="shared" si="14"/>
        <v>2.5307125307125307</v>
      </c>
      <c r="BX41" s="2">
        <f t="shared" si="15"/>
        <v>0.97536945812807885</v>
      </c>
      <c r="BY41" s="2">
        <f t="shared" si="16"/>
        <v>1.0564102564102564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15" t="e">
        <f t="shared" si="19"/>
        <v>#DIV/0!</v>
      </c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</row>
    <row r="42" spans="1:129" ht="14.25" customHeight="1" thickBot="1">
      <c r="A42" s="34" t="s">
        <v>202</v>
      </c>
      <c r="B42" s="3">
        <v>79</v>
      </c>
      <c r="C42" s="3" t="s">
        <v>148</v>
      </c>
      <c r="D42" s="10" t="s">
        <v>159</v>
      </c>
      <c r="E42" s="3" t="s">
        <v>164</v>
      </c>
      <c r="F42" s="13">
        <v>38874</v>
      </c>
      <c r="G42" s="18" t="s">
        <v>190</v>
      </c>
      <c r="H42" s="28">
        <v>20</v>
      </c>
      <c r="I42" s="3">
        <v>68.099999999999994</v>
      </c>
      <c r="J42" s="3">
        <v>180.3</v>
      </c>
      <c r="K42" s="3">
        <f t="shared" si="0"/>
        <v>0</v>
      </c>
      <c r="L42" s="13">
        <v>46199</v>
      </c>
      <c r="M42" s="3" t="s">
        <v>147</v>
      </c>
      <c r="N42" s="3">
        <v>943</v>
      </c>
      <c r="O42" s="3">
        <v>37</v>
      </c>
      <c r="P42" s="3">
        <v>34.6</v>
      </c>
      <c r="Q42" s="3">
        <v>11.5</v>
      </c>
      <c r="R42" s="3">
        <v>11.6</v>
      </c>
      <c r="S42" s="3">
        <v>7.6</v>
      </c>
      <c r="T42" s="3">
        <v>9.8000000000000007</v>
      </c>
      <c r="U42" s="3">
        <v>19.100000000000001</v>
      </c>
      <c r="V42" s="3">
        <v>20</v>
      </c>
      <c r="W42" s="3">
        <v>13.2</v>
      </c>
      <c r="X42" s="3">
        <v>15.9</v>
      </c>
      <c r="Y42" s="2">
        <f t="shared" si="1"/>
        <v>39.1</v>
      </c>
      <c r="Z42" s="2">
        <f t="shared" si="2"/>
        <v>29.1</v>
      </c>
      <c r="AA42" s="2">
        <f t="shared" si="3"/>
        <v>1.3436426116838487</v>
      </c>
      <c r="AB42" s="3">
        <v>24</v>
      </c>
      <c r="AC42" s="3">
        <v>19</v>
      </c>
      <c r="AD42" s="3">
        <v>18</v>
      </c>
      <c r="AE42" s="3">
        <v>17</v>
      </c>
      <c r="AF42" s="3">
        <v>42.5</v>
      </c>
      <c r="AG42" s="2"/>
      <c r="AH42" s="2">
        <f t="shared" si="37"/>
        <v>0</v>
      </c>
      <c r="AI42" s="2"/>
      <c r="AJ42" s="2">
        <f t="shared" si="38"/>
        <v>0</v>
      </c>
      <c r="AK42" s="2"/>
      <c r="AL42" s="2"/>
      <c r="AM42" s="3">
        <v>33.200000000000003</v>
      </c>
      <c r="AN42" s="3">
        <v>1769</v>
      </c>
      <c r="AO42" s="3">
        <v>12906</v>
      </c>
      <c r="AP42" s="3">
        <v>2.27</v>
      </c>
      <c r="AQ42" s="2"/>
      <c r="AR42" s="2"/>
      <c r="AS42" s="2"/>
      <c r="AT42" s="2"/>
      <c r="AU42" s="3">
        <v>18</v>
      </c>
      <c r="AV42" s="2"/>
      <c r="AW42" s="49"/>
      <c r="AX42" s="49"/>
      <c r="AY42" s="49"/>
      <c r="AZ42" s="3">
        <v>6.78</v>
      </c>
      <c r="BA42" s="43">
        <v>8.6973321099999996</v>
      </c>
      <c r="BB42" s="2"/>
      <c r="BC42" s="2"/>
      <c r="BD42" s="3">
        <v>246</v>
      </c>
      <c r="BE42" s="2">
        <f t="shared" si="24"/>
        <v>3.6123348017621146</v>
      </c>
      <c r="BF42" s="3">
        <v>205</v>
      </c>
      <c r="BG42" s="2">
        <f t="shared" si="25"/>
        <v>3.0102790014684291</v>
      </c>
      <c r="BH42" s="3">
        <v>158</v>
      </c>
      <c r="BI42" s="2">
        <f t="shared" si="26"/>
        <v>2.3201174743024966</v>
      </c>
      <c r="BJ42" s="3">
        <v>140</v>
      </c>
      <c r="BK42" s="2">
        <f t="shared" si="27"/>
        <v>2.0558002936857562</v>
      </c>
      <c r="BL42" s="3">
        <v>125</v>
      </c>
      <c r="BM42" s="2">
        <f t="shared" si="28"/>
        <v>1.8355359765051396</v>
      </c>
      <c r="BN42" s="3">
        <v>130</v>
      </c>
      <c r="BO42" s="2">
        <f t="shared" si="29"/>
        <v>1.9089574155653453</v>
      </c>
      <c r="BP42" s="3">
        <v>133</v>
      </c>
      <c r="BQ42" s="2">
        <f t="shared" si="30"/>
        <v>1.9530102790014685</v>
      </c>
      <c r="BR42" s="3">
        <v>88</v>
      </c>
      <c r="BS42" s="2">
        <f t="shared" si="31"/>
        <v>1.2922173274596183</v>
      </c>
      <c r="BT42" s="3">
        <v>166</v>
      </c>
      <c r="BU42" s="2">
        <f t="shared" si="32"/>
        <v>2.4375917767988255</v>
      </c>
      <c r="BV42" s="2"/>
      <c r="BW42" s="2">
        <f t="shared" si="14"/>
        <v>0</v>
      </c>
      <c r="BX42" s="2">
        <f t="shared" si="15"/>
        <v>1.0506329113924051</v>
      </c>
      <c r="BY42" s="2">
        <f t="shared" si="16"/>
        <v>0</v>
      </c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15" t="e">
        <f t="shared" si="19"/>
        <v>#DIV/0!</v>
      </c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</row>
    <row r="43" spans="1:129" ht="14.25" customHeight="1" thickBot="1">
      <c r="A43" s="34" t="s">
        <v>203</v>
      </c>
      <c r="B43" s="3">
        <v>64</v>
      </c>
      <c r="C43" s="3" t="s">
        <v>148</v>
      </c>
      <c r="D43" s="16" t="s">
        <v>144</v>
      </c>
      <c r="E43" s="3" t="s">
        <v>145</v>
      </c>
      <c r="F43" s="13">
        <v>37488</v>
      </c>
      <c r="G43" s="12" t="s">
        <v>190</v>
      </c>
      <c r="H43" s="18">
        <v>23</v>
      </c>
      <c r="I43" s="3">
        <v>67</v>
      </c>
      <c r="J43" s="3">
        <v>175.5</v>
      </c>
      <c r="K43" s="3">
        <f t="shared" si="0"/>
        <v>0</v>
      </c>
      <c r="L43" s="13">
        <v>46199</v>
      </c>
      <c r="M43" s="3" t="s">
        <v>147</v>
      </c>
      <c r="N43" s="3">
        <v>1010</v>
      </c>
      <c r="O43" s="3">
        <v>27.7</v>
      </c>
      <c r="P43" s="3">
        <v>28.8</v>
      </c>
      <c r="Q43" s="3">
        <v>8.9</v>
      </c>
      <c r="R43" s="3">
        <v>9.6999999999999993</v>
      </c>
      <c r="S43" s="3">
        <v>11.2</v>
      </c>
      <c r="T43" s="3">
        <v>10</v>
      </c>
      <c r="U43" s="3">
        <v>34.6</v>
      </c>
      <c r="V43" s="3">
        <v>31.1</v>
      </c>
      <c r="W43" s="3">
        <v>22.9</v>
      </c>
      <c r="X43" s="3">
        <v>20.7</v>
      </c>
      <c r="Y43" s="2">
        <f t="shared" si="1"/>
        <v>65.7</v>
      </c>
      <c r="Z43" s="2">
        <f t="shared" si="2"/>
        <v>43.599999999999994</v>
      </c>
      <c r="AA43" s="2">
        <f t="shared" si="3"/>
        <v>1.5068807339449544</v>
      </c>
      <c r="AB43" s="3">
        <v>10</v>
      </c>
      <c r="AC43" s="3">
        <v>10</v>
      </c>
      <c r="AD43" s="3">
        <v>11</v>
      </c>
      <c r="AE43" s="3">
        <v>13</v>
      </c>
      <c r="AF43" s="3">
        <v>15.5</v>
      </c>
      <c r="AG43" s="2"/>
      <c r="AH43" s="2">
        <f t="shared" si="37"/>
        <v>0</v>
      </c>
      <c r="AI43" s="2"/>
      <c r="AJ43" s="2">
        <f t="shared" si="38"/>
        <v>0</v>
      </c>
      <c r="AK43" s="2"/>
      <c r="AL43" s="2"/>
      <c r="AM43" s="3">
        <v>34.6</v>
      </c>
      <c r="AN43" s="3">
        <v>1714</v>
      </c>
      <c r="AO43" s="3">
        <v>11086</v>
      </c>
      <c r="AP43" s="3">
        <v>2.54</v>
      </c>
      <c r="AQ43" s="2"/>
      <c r="AR43" s="2"/>
      <c r="AS43" s="2"/>
      <c r="AT43" s="2"/>
      <c r="AU43" s="3">
        <v>18</v>
      </c>
      <c r="AV43" s="2"/>
      <c r="AW43" s="48"/>
      <c r="AX43" s="48"/>
      <c r="AY43" s="48"/>
      <c r="AZ43" s="3">
        <v>6.32</v>
      </c>
      <c r="BA43" s="43">
        <v>8.450183183</v>
      </c>
      <c r="BB43" s="2"/>
      <c r="BC43" s="2"/>
      <c r="BD43" s="3">
        <v>226</v>
      </c>
      <c r="BE43" s="2">
        <f t="shared" si="24"/>
        <v>3.3731343283582089</v>
      </c>
      <c r="BF43" s="3">
        <v>194</v>
      </c>
      <c r="BG43" s="2">
        <f t="shared" si="25"/>
        <v>2.8955223880597014</v>
      </c>
      <c r="BH43" s="3">
        <v>151</v>
      </c>
      <c r="BI43" s="2">
        <f t="shared" si="26"/>
        <v>2.2537313432835822</v>
      </c>
      <c r="BJ43" s="3">
        <v>128</v>
      </c>
      <c r="BK43" s="2">
        <f t="shared" si="27"/>
        <v>1.9104477611940298</v>
      </c>
      <c r="BL43" s="3">
        <v>122</v>
      </c>
      <c r="BM43" s="2">
        <f t="shared" si="28"/>
        <v>1.8208955223880596</v>
      </c>
      <c r="BN43" s="3">
        <v>116</v>
      </c>
      <c r="BO43" s="2">
        <f t="shared" si="29"/>
        <v>1.7313432835820894</v>
      </c>
      <c r="BP43" s="3">
        <v>113</v>
      </c>
      <c r="BQ43" s="2">
        <f t="shared" si="30"/>
        <v>1.6865671641791045</v>
      </c>
      <c r="BR43" s="3">
        <v>88</v>
      </c>
      <c r="BS43" s="2">
        <f t="shared" si="31"/>
        <v>1.3134328358208955</v>
      </c>
      <c r="BT43" s="3">
        <v>167</v>
      </c>
      <c r="BU43" s="2">
        <f t="shared" si="32"/>
        <v>2.4925373134328357</v>
      </c>
      <c r="BV43" s="3">
        <v>146</v>
      </c>
      <c r="BW43" s="2">
        <f t="shared" si="14"/>
        <v>2.1791044776119404</v>
      </c>
      <c r="BX43" s="2">
        <f t="shared" si="15"/>
        <v>1.1059602649006623</v>
      </c>
      <c r="BY43" s="2">
        <f t="shared" si="16"/>
        <v>1.140625</v>
      </c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15" t="e">
        <f t="shared" si="19"/>
        <v>#DIV/0!</v>
      </c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</row>
    <row r="44" spans="1:129" ht="14.25" customHeight="1" thickBot="1">
      <c r="A44" s="35" t="s">
        <v>204</v>
      </c>
      <c r="B44" s="3">
        <v>62</v>
      </c>
      <c r="C44" s="3" t="s">
        <v>143</v>
      </c>
      <c r="D44" s="16" t="s">
        <v>150</v>
      </c>
      <c r="E44" s="3" t="s">
        <v>153</v>
      </c>
      <c r="F44" s="13">
        <v>37859</v>
      </c>
      <c r="G44" s="18" t="s">
        <v>190</v>
      </c>
      <c r="H44" s="28">
        <v>22</v>
      </c>
      <c r="I44" s="3">
        <v>70.2</v>
      </c>
      <c r="J44" s="3">
        <v>173.6</v>
      </c>
      <c r="K44" s="3">
        <f t="shared" si="0"/>
        <v>0</v>
      </c>
      <c r="L44" s="13">
        <v>46199</v>
      </c>
      <c r="M44" s="3" t="s">
        <v>147</v>
      </c>
      <c r="N44" s="3">
        <v>1018</v>
      </c>
      <c r="O44" s="3">
        <v>44.1</v>
      </c>
      <c r="P44" s="3">
        <v>38.4</v>
      </c>
      <c r="Q44" s="3">
        <v>9.4</v>
      </c>
      <c r="R44" s="3">
        <v>12.1</v>
      </c>
      <c r="S44" s="3">
        <v>9.5</v>
      </c>
      <c r="T44" s="3">
        <v>12.2</v>
      </c>
      <c r="U44" s="3">
        <v>25.9</v>
      </c>
      <c r="V44" s="3">
        <v>26.5</v>
      </c>
      <c r="W44" s="3">
        <v>26.9</v>
      </c>
      <c r="X44" s="3">
        <v>29</v>
      </c>
      <c r="Y44" s="2">
        <f t="shared" si="1"/>
        <v>52.4</v>
      </c>
      <c r="Z44" s="2">
        <f t="shared" si="2"/>
        <v>55.9</v>
      </c>
      <c r="AA44" s="2">
        <f t="shared" si="3"/>
        <v>0.93738819320214672</v>
      </c>
      <c r="AB44" s="3">
        <v>11</v>
      </c>
      <c r="AC44" s="3">
        <v>10</v>
      </c>
      <c r="AD44" s="3">
        <v>6</v>
      </c>
      <c r="AE44" s="3">
        <v>7</v>
      </c>
      <c r="AF44" s="3">
        <v>16.5</v>
      </c>
      <c r="AG44" s="2"/>
      <c r="AH44" s="2">
        <f t="shared" si="37"/>
        <v>0</v>
      </c>
      <c r="AI44" s="2"/>
      <c r="AJ44" s="2">
        <f t="shared" si="38"/>
        <v>0</v>
      </c>
      <c r="AK44" s="2"/>
      <c r="AL44" s="2"/>
      <c r="AM44" s="3">
        <v>36.1</v>
      </c>
      <c r="AN44" s="3">
        <v>2185</v>
      </c>
      <c r="AO44" s="3">
        <v>16691</v>
      </c>
      <c r="AP44" s="3">
        <v>3.11</v>
      </c>
      <c r="AQ44" s="3">
        <v>4096</v>
      </c>
      <c r="AR44" s="2"/>
      <c r="AS44" s="2"/>
      <c r="AT44" s="2"/>
      <c r="AU44" s="3">
        <v>17</v>
      </c>
      <c r="AV44" s="2"/>
      <c r="AW44" s="50"/>
      <c r="AX44" s="50"/>
      <c r="AY44" s="50"/>
      <c r="AZ44" s="3">
        <v>6.39</v>
      </c>
      <c r="BA44" s="43">
        <v>9.4448766220000007</v>
      </c>
      <c r="BB44" s="2"/>
      <c r="BC44" s="2"/>
      <c r="BD44" s="3">
        <v>200</v>
      </c>
      <c r="BE44" s="2">
        <f t="shared" si="24"/>
        <v>2.8490028490028489</v>
      </c>
      <c r="BF44" s="3">
        <v>213</v>
      </c>
      <c r="BG44" s="2">
        <f t="shared" si="25"/>
        <v>3.0341880341880341</v>
      </c>
      <c r="BH44" s="3">
        <v>136</v>
      </c>
      <c r="BI44" s="2">
        <f t="shared" si="26"/>
        <v>1.9373219373219372</v>
      </c>
      <c r="BJ44" s="3">
        <v>142</v>
      </c>
      <c r="BK44" s="2">
        <f t="shared" si="27"/>
        <v>2.0227920227920229</v>
      </c>
      <c r="BL44" s="3">
        <v>110</v>
      </c>
      <c r="BM44" s="2">
        <f t="shared" si="28"/>
        <v>1.5669515669515668</v>
      </c>
      <c r="BN44" s="3">
        <v>87</v>
      </c>
      <c r="BO44" s="2">
        <f t="shared" si="29"/>
        <v>1.2393162393162394</v>
      </c>
      <c r="BP44" s="3">
        <v>84</v>
      </c>
      <c r="BQ44" s="2">
        <f t="shared" si="30"/>
        <v>1.1965811965811965</v>
      </c>
      <c r="BR44" s="3">
        <v>79</v>
      </c>
      <c r="BS44" s="2">
        <f t="shared" si="31"/>
        <v>1.1253561253561253</v>
      </c>
      <c r="BT44" s="2"/>
      <c r="BU44" s="2">
        <f t="shared" si="32"/>
        <v>0</v>
      </c>
      <c r="BV44" s="3">
        <v>121</v>
      </c>
      <c r="BW44" s="2">
        <f t="shared" si="14"/>
        <v>1.7236467236467237</v>
      </c>
      <c r="BX44" s="2">
        <f t="shared" si="15"/>
        <v>0</v>
      </c>
      <c r="BY44" s="2">
        <f t="shared" si="16"/>
        <v>0.852112676056338</v>
      </c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15" t="e">
        <f t="shared" si="19"/>
        <v>#DIV/0!</v>
      </c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</row>
    <row r="45" spans="1:129" ht="14.25" customHeight="1" thickBot="1">
      <c r="A45" s="34" t="s">
        <v>205</v>
      </c>
      <c r="B45" s="3">
        <v>68</v>
      </c>
      <c r="C45" s="3" t="s">
        <v>148</v>
      </c>
      <c r="D45" s="10" t="s">
        <v>159</v>
      </c>
      <c r="E45" s="3" t="s">
        <v>173</v>
      </c>
      <c r="F45" s="13">
        <v>39424</v>
      </c>
      <c r="G45" s="12" t="s">
        <v>190</v>
      </c>
      <c r="H45" s="20">
        <v>18</v>
      </c>
      <c r="I45" s="3">
        <v>71</v>
      </c>
      <c r="J45" s="3">
        <v>172.5</v>
      </c>
      <c r="K45" s="3">
        <f t="shared" si="0"/>
        <v>0</v>
      </c>
      <c r="L45" s="13">
        <v>46199</v>
      </c>
      <c r="M45" s="3" t="s">
        <v>147</v>
      </c>
      <c r="N45" s="3">
        <v>1131</v>
      </c>
      <c r="O45" s="3">
        <v>39</v>
      </c>
      <c r="P45" s="3">
        <v>36.200000000000003</v>
      </c>
      <c r="Q45" s="3">
        <v>12.5</v>
      </c>
      <c r="R45" s="3">
        <v>11.5</v>
      </c>
      <c r="S45" s="3">
        <v>12.1</v>
      </c>
      <c r="T45" s="3">
        <v>12.1</v>
      </c>
      <c r="U45" s="3">
        <v>32.799999999999997</v>
      </c>
      <c r="V45" s="3">
        <v>29.8</v>
      </c>
      <c r="W45" s="3">
        <v>22.5</v>
      </c>
      <c r="X45" s="3">
        <v>21.2</v>
      </c>
      <c r="Y45" s="2">
        <f t="shared" si="1"/>
        <v>62.599999999999994</v>
      </c>
      <c r="Z45" s="2">
        <f t="shared" si="2"/>
        <v>43.7</v>
      </c>
      <c r="AA45" s="2">
        <f t="shared" si="3"/>
        <v>1.4324942791762012</v>
      </c>
      <c r="AB45" s="3">
        <v>13</v>
      </c>
      <c r="AC45" s="3">
        <v>16</v>
      </c>
      <c r="AD45" s="3">
        <v>13</v>
      </c>
      <c r="AE45" s="3">
        <v>12</v>
      </c>
      <c r="AF45" s="3">
        <v>39</v>
      </c>
      <c r="AG45" s="2"/>
      <c r="AH45" s="2">
        <f t="shared" si="37"/>
        <v>0</v>
      </c>
      <c r="AI45" s="2"/>
      <c r="AJ45" s="2">
        <f t="shared" si="38"/>
        <v>0</v>
      </c>
      <c r="AK45" s="2"/>
      <c r="AL45" s="2"/>
      <c r="AM45" s="3">
        <v>40.5</v>
      </c>
      <c r="AN45" s="3">
        <v>1770</v>
      </c>
      <c r="AO45" s="3">
        <v>8248</v>
      </c>
      <c r="AP45" s="3">
        <v>1.78</v>
      </c>
      <c r="AQ45" s="2"/>
      <c r="AR45" s="2"/>
      <c r="AS45" s="2"/>
      <c r="AT45" s="2"/>
      <c r="AU45" s="3">
        <v>15.5</v>
      </c>
      <c r="AV45" s="2"/>
      <c r="AW45" s="48"/>
      <c r="AX45" s="48"/>
      <c r="AY45" s="48"/>
      <c r="AZ45" s="3">
        <v>6.65</v>
      </c>
      <c r="BA45" s="43">
        <v>7.252258265</v>
      </c>
      <c r="BB45" s="2"/>
      <c r="BC45" s="2"/>
      <c r="BD45" s="3">
        <v>230</v>
      </c>
      <c r="BE45" s="2">
        <f t="shared" si="24"/>
        <v>3.23943661971831</v>
      </c>
      <c r="BF45" s="3">
        <v>237</v>
      </c>
      <c r="BG45" s="2">
        <f t="shared" si="25"/>
        <v>3.3380281690140845</v>
      </c>
      <c r="BH45" s="3">
        <v>158</v>
      </c>
      <c r="BI45" s="2">
        <f t="shared" si="26"/>
        <v>2.2253521126760565</v>
      </c>
      <c r="BJ45" s="3">
        <v>163</v>
      </c>
      <c r="BK45" s="2">
        <f t="shared" si="27"/>
        <v>2.295774647887324</v>
      </c>
      <c r="BL45" s="3">
        <v>113</v>
      </c>
      <c r="BM45" s="2">
        <f t="shared" si="28"/>
        <v>1.591549295774648</v>
      </c>
      <c r="BN45" s="3">
        <v>123</v>
      </c>
      <c r="BO45" s="2">
        <f t="shared" si="29"/>
        <v>1.732394366197183</v>
      </c>
      <c r="BP45" s="3">
        <v>91</v>
      </c>
      <c r="BQ45" s="2">
        <f t="shared" si="30"/>
        <v>1.2816901408450705</v>
      </c>
      <c r="BR45" s="3">
        <v>109</v>
      </c>
      <c r="BS45" s="2">
        <f t="shared" si="31"/>
        <v>1.5352112676056338</v>
      </c>
      <c r="BT45" s="3">
        <v>144</v>
      </c>
      <c r="BU45" s="2">
        <f t="shared" si="32"/>
        <v>2.028169014084507</v>
      </c>
      <c r="BV45" s="3">
        <v>146</v>
      </c>
      <c r="BW45" s="2">
        <f t="shared" si="14"/>
        <v>2.056338028169014</v>
      </c>
      <c r="BX45" s="2">
        <f t="shared" si="15"/>
        <v>0.91139240506329111</v>
      </c>
      <c r="BY45" s="2">
        <f t="shared" si="16"/>
        <v>0.89570552147239269</v>
      </c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15" t="e">
        <f t="shared" si="19"/>
        <v>#DIV/0!</v>
      </c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</row>
    <row r="46" spans="1:129" ht="14.25" customHeight="1" thickBot="1">
      <c r="A46" s="35" t="s">
        <v>206</v>
      </c>
      <c r="B46" s="3"/>
      <c r="C46" s="3" t="s">
        <v>143</v>
      </c>
      <c r="D46" s="3"/>
      <c r="E46" s="3"/>
      <c r="F46" s="13">
        <v>39610</v>
      </c>
      <c r="G46" s="18" t="s">
        <v>190</v>
      </c>
      <c r="H46" s="28"/>
      <c r="I46" s="3">
        <v>76</v>
      </c>
      <c r="J46" s="3">
        <v>183</v>
      </c>
      <c r="K46" s="3">
        <f t="shared" si="0"/>
        <v>0</v>
      </c>
      <c r="L46" s="13">
        <v>46199</v>
      </c>
      <c r="M46" s="3" t="s">
        <v>147</v>
      </c>
      <c r="N46" s="3">
        <v>837</v>
      </c>
      <c r="O46" s="3">
        <v>37.5</v>
      </c>
      <c r="P46" s="3">
        <v>35.299999999999997</v>
      </c>
      <c r="Q46" s="3">
        <v>9</v>
      </c>
      <c r="R46" s="3">
        <v>11.7</v>
      </c>
      <c r="S46" s="3">
        <v>11.2</v>
      </c>
      <c r="T46" s="3">
        <v>9.1999999999999993</v>
      </c>
      <c r="U46" s="3">
        <v>26.9</v>
      </c>
      <c r="V46" s="3">
        <v>22.2</v>
      </c>
      <c r="W46" s="3">
        <v>24.1</v>
      </c>
      <c r="X46" s="3">
        <v>21.5</v>
      </c>
      <c r="Y46" s="2">
        <f t="shared" si="1"/>
        <v>49.099999999999994</v>
      </c>
      <c r="Z46" s="2">
        <f t="shared" si="2"/>
        <v>45.6</v>
      </c>
      <c r="AA46" s="2">
        <f t="shared" si="3"/>
        <v>1.076754385964912</v>
      </c>
      <c r="AB46" s="3">
        <v>14</v>
      </c>
      <c r="AC46" s="3">
        <v>14</v>
      </c>
      <c r="AD46" s="3">
        <v>12</v>
      </c>
      <c r="AE46" s="3">
        <v>9</v>
      </c>
      <c r="AF46" s="3">
        <v>28</v>
      </c>
      <c r="AG46" s="2"/>
      <c r="AH46" s="2">
        <f t="shared" si="37"/>
        <v>0</v>
      </c>
      <c r="AI46" s="2"/>
      <c r="AJ46" s="2">
        <f t="shared" si="38"/>
        <v>0</v>
      </c>
      <c r="AK46" s="2"/>
      <c r="AL46" s="2"/>
      <c r="AM46" s="3">
        <v>29.7</v>
      </c>
      <c r="AN46" s="3">
        <v>1659</v>
      </c>
      <c r="AO46" s="3">
        <v>5849</v>
      </c>
      <c r="AP46" s="3">
        <v>1.65</v>
      </c>
      <c r="AQ46" s="2"/>
      <c r="AR46" s="2"/>
      <c r="AS46" s="2"/>
      <c r="AT46" s="2"/>
      <c r="AU46" s="2"/>
      <c r="AV46" s="2"/>
      <c r="AW46" s="49"/>
      <c r="AX46" s="49"/>
      <c r="AY46" s="49"/>
      <c r="AZ46" s="3">
        <v>5.67</v>
      </c>
      <c r="BA46" s="43">
        <v>8.5136370709999998</v>
      </c>
      <c r="BB46" s="2"/>
      <c r="BC46" s="2"/>
      <c r="BD46" s="3">
        <v>264</v>
      </c>
      <c r="BE46" s="2">
        <f t="shared" si="24"/>
        <v>3.4736842105263159</v>
      </c>
      <c r="BF46" s="3">
        <v>263</v>
      </c>
      <c r="BG46" s="2">
        <f t="shared" si="25"/>
        <v>3.4605263157894739</v>
      </c>
      <c r="BH46" s="3">
        <v>163</v>
      </c>
      <c r="BI46" s="2">
        <f t="shared" si="26"/>
        <v>2.1447368421052633</v>
      </c>
      <c r="BJ46" s="3">
        <v>195</v>
      </c>
      <c r="BK46" s="2">
        <f t="shared" si="27"/>
        <v>2.5657894736842106</v>
      </c>
      <c r="BL46" s="3">
        <v>106</v>
      </c>
      <c r="BM46" s="2">
        <f t="shared" si="28"/>
        <v>1.3947368421052631</v>
      </c>
      <c r="BN46" s="3">
        <v>128</v>
      </c>
      <c r="BO46" s="2">
        <f t="shared" si="29"/>
        <v>1.6842105263157894</v>
      </c>
      <c r="BP46" s="3">
        <v>89</v>
      </c>
      <c r="BQ46" s="2">
        <f t="shared" si="30"/>
        <v>1.1710526315789473</v>
      </c>
      <c r="BR46" s="3">
        <v>103</v>
      </c>
      <c r="BS46" s="2">
        <f t="shared" si="31"/>
        <v>1.3552631578947369</v>
      </c>
      <c r="BT46" s="3">
        <v>162</v>
      </c>
      <c r="BU46" s="2">
        <f t="shared" si="32"/>
        <v>2.1315789473684212</v>
      </c>
      <c r="BV46" s="3">
        <v>153</v>
      </c>
      <c r="BW46" s="2">
        <f t="shared" si="14"/>
        <v>2.013157894736842</v>
      </c>
      <c r="BX46" s="2">
        <f t="shared" si="15"/>
        <v>0.99386503067484666</v>
      </c>
      <c r="BY46" s="2">
        <f t="shared" si="16"/>
        <v>0.7846153846153846</v>
      </c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15" t="e">
        <f t="shared" si="19"/>
        <v>#DIV/0!</v>
      </c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</row>
    <row r="47" spans="1:129" ht="14.25" customHeight="1" thickBot="1">
      <c r="A47" s="34" t="s">
        <v>207</v>
      </c>
      <c r="B47" s="3">
        <v>67</v>
      </c>
      <c r="C47" s="3" t="s">
        <v>143</v>
      </c>
      <c r="D47" s="16" t="s">
        <v>144</v>
      </c>
      <c r="E47" s="3" t="s">
        <v>145</v>
      </c>
      <c r="F47" s="13">
        <v>39189</v>
      </c>
      <c r="G47" s="12" t="s">
        <v>190</v>
      </c>
      <c r="H47" s="20">
        <v>19</v>
      </c>
      <c r="I47" s="3">
        <v>71.099999999999994</v>
      </c>
      <c r="J47" s="3">
        <v>177.5</v>
      </c>
      <c r="K47" s="3">
        <f t="shared" si="0"/>
        <v>0</v>
      </c>
      <c r="L47" s="13">
        <v>46199</v>
      </c>
      <c r="M47" s="3" t="s">
        <v>147</v>
      </c>
      <c r="N47" s="3" t="s">
        <v>208</v>
      </c>
      <c r="O47" s="3">
        <v>30.9</v>
      </c>
      <c r="P47" s="3">
        <v>35.200000000000003</v>
      </c>
      <c r="Q47" s="3">
        <v>8.3000000000000007</v>
      </c>
      <c r="R47" s="3">
        <v>9.8000000000000007</v>
      </c>
      <c r="S47" s="3">
        <v>12.5</v>
      </c>
      <c r="T47" s="3">
        <v>12.3</v>
      </c>
      <c r="U47" s="3">
        <v>22</v>
      </c>
      <c r="V47" s="3">
        <v>21.8</v>
      </c>
      <c r="W47" s="3">
        <v>25.2</v>
      </c>
      <c r="X47" s="3">
        <v>24.7</v>
      </c>
      <c r="Y47" s="2">
        <f t="shared" si="1"/>
        <v>43.8</v>
      </c>
      <c r="Z47" s="2">
        <f t="shared" si="2"/>
        <v>49.9</v>
      </c>
      <c r="AA47" s="2">
        <f t="shared" si="3"/>
        <v>0.87775551102204408</v>
      </c>
      <c r="AB47" s="3">
        <v>13</v>
      </c>
      <c r="AC47" s="3">
        <v>16</v>
      </c>
      <c r="AD47" s="3">
        <v>11</v>
      </c>
      <c r="AE47" s="3">
        <v>10</v>
      </c>
      <c r="AF47" s="3">
        <v>26</v>
      </c>
      <c r="AG47" s="2"/>
      <c r="AH47" s="2">
        <f t="shared" si="37"/>
        <v>0</v>
      </c>
      <c r="AI47" s="2"/>
      <c r="AJ47" s="2">
        <f t="shared" si="38"/>
        <v>0</v>
      </c>
      <c r="AK47" s="2"/>
      <c r="AL47" s="2"/>
      <c r="AM47" s="3">
        <v>46.1</v>
      </c>
      <c r="AN47" s="3">
        <v>1936</v>
      </c>
      <c r="AO47" s="3">
        <v>12991</v>
      </c>
      <c r="AP47" s="3">
        <v>2.52</v>
      </c>
      <c r="AQ47" s="2"/>
      <c r="AR47" s="2"/>
      <c r="AS47" s="2"/>
      <c r="AT47" s="2"/>
      <c r="AU47" s="3">
        <v>17</v>
      </c>
      <c r="AV47" s="2"/>
      <c r="AW47" s="48"/>
      <c r="AX47" s="48"/>
      <c r="AY47" s="48"/>
      <c r="AZ47" s="3">
        <v>7.625</v>
      </c>
      <c r="BA47" s="43">
        <v>9.6673873869999998</v>
      </c>
      <c r="BB47" s="2"/>
      <c r="BC47" s="2"/>
      <c r="BD47" s="3">
        <v>212</v>
      </c>
      <c r="BE47" s="2">
        <f t="shared" si="24"/>
        <v>2.9817158931082983</v>
      </c>
      <c r="BF47" s="3">
        <v>268</v>
      </c>
      <c r="BG47" s="2">
        <f t="shared" si="25"/>
        <v>3.7693389592123774</v>
      </c>
      <c r="BH47" s="3">
        <v>172</v>
      </c>
      <c r="BI47" s="2">
        <f t="shared" si="26"/>
        <v>2.419127988748242</v>
      </c>
      <c r="BJ47" s="3">
        <v>175</v>
      </c>
      <c r="BK47" s="2">
        <f t="shared" si="27"/>
        <v>2.4613220815752461</v>
      </c>
      <c r="BL47" s="3">
        <v>153</v>
      </c>
      <c r="BM47" s="2">
        <f t="shared" si="28"/>
        <v>2.1518987341772156</v>
      </c>
      <c r="BN47" s="3">
        <v>167</v>
      </c>
      <c r="BO47" s="2">
        <f t="shared" si="29"/>
        <v>2.3488045007032352</v>
      </c>
      <c r="BP47" s="3">
        <v>131</v>
      </c>
      <c r="BQ47" s="2">
        <f t="shared" si="30"/>
        <v>1.8424753867791843</v>
      </c>
      <c r="BR47" s="3">
        <v>138</v>
      </c>
      <c r="BS47" s="2">
        <f t="shared" si="31"/>
        <v>1.9409282700421941</v>
      </c>
      <c r="BT47" s="3">
        <v>166</v>
      </c>
      <c r="BU47" s="2">
        <f t="shared" si="32"/>
        <v>2.3347398030942337</v>
      </c>
      <c r="BV47" s="3">
        <v>145</v>
      </c>
      <c r="BW47" s="2">
        <f t="shared" si="14"/>
        <v>2.0393811533052042</v>
      </c>
      <c r="BX47" s="2">
        <f t="shared" si="15"/>
        <v>0.96511627906976749</v>
      </c>
      <c r="BY47" s="2">
        <f t="shared" si="16"/>
        <v>0.82857142857142863</v>
      </c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15" t="e">
        <f t="shared" si="19"/>
        <v>#DIV/0!</v>
      </c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</row>
    <row r="48" spans="1:129" ht="14.25" customHeight="1" thickBot="1">
      <c r="A48" s="34" t="s">
        <v>209</v>
      </c>
      <c r="B48" s="3">
        <v>71</v>
      </c>
      <c r="C48" s="3" t="s">
        <v>143</v>
      </c>
      <c r="D48" s="36" t="s">
        <v>150</v>
      </c>
      <c r="E48" s="3" t="s">
        <v>199</v>
      </c>
      <c r="F48" s="13">
        <v>39110</v>
      </c>
      <c r="G48" s="18" t="s">
        <v>190</v>
      </c>
      <c r="H48" s="12">
        <v>19</v>
      </c>
      <c r="I48" s="3">
        <v>92.5</v>
      </c>
      <c r="J48" s="3">
        <v>192</v>
      </c>
      <c r="K48" s="3">
        <f t="shared" si="0"/>
        <v>0</v>
      </c>
      <c r="L48" s="13">
        <v>46199</v>
      </c>
      <c r="M48" s="3" t="s">
        <v>147</v>
      </c>
      <c r="N48" s="3">
        <v>1497</v>
      </c>
      <c r="O48" s="3">
        <v>46.3</v>
      </c>
      <c r="P48" s="3">
        <v>49.7</v>
      </c>
      <c r="Q48" s="3">
        <v>11.5</v>
      </c>
      <c r="R48" s="3">
        <v>10.5</v>
      </c>
      <c r="S48" s="3">
        <v>8.5</v>
      </c>
      <c r="T48" s="3">
        <v>8.8000000000000007</v>
      </c>
      <c r="U48" s="3">
        <v>41</v>
      </c>
      <c r="V48" s="3">
        <v>43.2</v>
      </c>
      <c r="W48" s="3">
        <v>27.9</v>
      </c>
      <c r="X48" s="3">
        <v>30.4</v>
      </c>
      <c r="Y48" s="2">
        <f t="shared" si="1"/>
        <v>84.2</v>
      </c>
      <c r="Z48" s="2">
        <f t="shared" si="2"/>
        <v>58.3</v>
      </c>
      <c r="AA48" s="2">
        <f t="shared" si="3"/>
        <v>1.4442538593481991</v>
      </c>
      <c r="AB48" s="3">
        <v>16</v>
      </c>
      <c r="AC48" s="3">
        <v>15</v>
      </c>
      <c r="AD48" s="3">
        <v>10</v>
      </c>
      <c r="AE48" s="3">
        <v>10.5</v>
      </c>
      <c r="AF48" s="3">
        <v>23</v>
      </c>
      <c r="AG48" s="2"/>
      <c r="AH48" s="2">
        <f t="shared" si="37"/>
        <v>0</v>
      </c>
      <c r="AI48" s="2"/>
      <c r="AJ48" s="2">
        <f t="shared" si="38"/>
        <v>0</v>
      </c>
      <c r="AK48" s="2"/>
      <c r="AL48" s="2"/>
      <c r="AM48" s="3">
        <v>39.200000000000003</v>
      </c>
      <c r="AN48" s="3">
        <v>2439</v>
      </c>
      <c r="AO48" s="3">
        <v>21430</v>
      </c>
      <c r="AP48" s="3">
        <v>2.2599999999999998</v>
      </c>
      <c r="AQ48" s="2"/>
      <c r="AR48" s="2"/>
      <c r="AS48" s="2"/>
      <c r="AT48" s="2"/>
      <c r="AU48" s="3">
        <v>17</v>
      </c>
      <c r="AV48" s="2"/>
      <c r="AW48" s="49"/>
      <c r="AX48" s="49"/>
      <c r="AY48" s="49"/>
      <c r="AZ48" s="3">
        <v>6.97</v>
      </c>
      <c r="BA48" s="43">
        <v>8.6122653549999999</v>
      </c>
      <c r="BB48" s="2"/>
      <c r="BC48" s="2"/>
      <c r="BD48" s="2"/>
      <c r="BE48" s="2">
        <f t="shared" si="24"/>
        <v>0</v>
      </c>
      <c r="BF48" s="3">
        <v>265</v>
      </c>
      <c r="BG48" s="2">
        <f t="shared" si="25"/>
        <v>2.8648648648648649</v>
      </c>
      <c r="BH48" s="3">
        <v>169</v>
      </c>
      <c r="BI48" s="2">
        <f t="shared" si="26"/>
        <v>1.827027027027027</v>
      </c>
      <c r="BJ48" s="3">
        <v>165</v>
      </c>
      <c r="BK48" s="2">
        <f t="shared" si="27"/>
        <v>1.7837837837837838</v>
      </c>
      <c r="BL48" s="3">
        <v>210</v>
      </c>
      <c r="BM48" s="2">
        <f t="shared" si="28"/>
        <v>2.2702702702702702</v>
      </c>
      <c r="BN48" s="3">
        <v>180</v>
      </c>
      <c r="BO48" s="2">
        <f t="shared" si="29"/>
        <v>1.9459459459459461</v>
      </c>
      <c r="BP48" s="3">
        <v>190</v>
      </c>
      <c r="BQ48" s="2">
        <f t="shared" si="30"/>
        <v>2.0540540540540539</v>
      </c>
      <c r="BR48" s="3">
        <v>167</v>
      </c>
      <c r="BS48" s="2">
        <f t="shared" si="31"/>
        <v>1.8054054054054054</v>
      </c>
      <c r="BT48" s="3">
        <v>254</v>
      </c>
      <c r="BU48" s="2">
        <f t="shared" si="32"/>
        <v>2.7459459459459459</v>
      </c>
      <c r="BV48" s="3">
        <v>251</v>
      </c>
      <c r="BW48" s="2">
        <f t="shared" si="14"/>
        <v>2.7135135135135133</v>
      </c>
      <c r="BX48" s="2">
        <f t="shared" si="15"/>
        <v>1.5029585798816567</v>
      </c>
      <c r="BY48" s="2">
        <f t="shared" si="16"/>
        <v>1.5212121212121212</v>
      </c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15" t="e">
        <f t="shared" si="19"/>
        <v>#DIV/0!</v>
      </c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</row>
    <row r="49" spans="1:129" ht="14.25" customHeight="1" thickBot="1">
      <c r="A49" s="34" t="s">
        <v>210</v>
      </c>
      <c r="B49" s="3">
        <v>82</v>
      </c>
      <c r="C49" s="3" t="s">
        <v>148</v>
      </c>
      <c r="D49" s="16" t="s">
        <v>150</v>
      </c>
      <c r="E49" s="3" t="s">
        <v>153</v>
      </c>
      <c r="F49" s="13">
        <v>39256</v>
      </c>
      <c r="G49" s="12" t="s">
        <v>190</v>
      </c>
      <c r="H49" s="20">
        <v>19</v>
      </c>
      <c r="I49" s="3">
        <v>65.400000000000006</v>
      </c>
      <c r="J49" s="3">
        <v>169</v>
      </c>
      <c r="K49" s="3">
        <f t="shared" si="0"/>
        <v>0</v>
      </c>
      <c r="L49" s="13">
        <v>46199</v>
      </c>
      <c r="M49" s="3" t="s">
        <v>147</v>
      </c>
      <c r="N49" s="3">
        <v>1164</v>
      </c>
      <c r="O49" s="3">
        <v>28.6</v>
      </c>
      <c r="P49" s="3">
        <v>31.3</v>
      </c>
      <c r="Q49" s="3">
        <v>8.5</v>
      </c>
      <c r="R49" s="3">
        <v>7.7</v>
      </c>
      <c r="S49" s="3">
        <v>7.6</v>
      </c>
      <c r="T49" s="3">
        <v>8.4</v>
      </c>
      <c r="U49" s="3">
        <v>23.4</v>
      </c>
      <c r="V49" s="3">
        <v>22.4</v>
      </c>
      <c r="W49" s="3">
        <v>15.5</v>
      </c>
      <c r="X49" s="3">
        <v>18.600000000000001</v>
      </c>
      <c r="Y49" s="2">
        <f t="shared" si="1"/>
        <v>45.8</v>
      </c>
      <c r="Z49" s="2">
        <f t="shared" si="2"/>
        <v>34.1</v>
      </c>
      <c r="AA49" s="2">
        <f t="shared" si="3"/>
        <v>1.3431085043988269</v>
      </c>
      <c r="AB49" s="3">
        <v>12</v>
      </c>
      <c r="AC49" s="3">
        <v>12</v>
      </c>
      <c r="AD49" s="3">
        <v>9</v>
      </c>
      <c r="AE49" s="3">
        <v>9</v>
      </c>
      <c r="AF49" s="3">
        <v>35</v>
      </c>
      <c r="AG49" s="2"/>
      <c r="AH49" s="2">
        <f t="shared" si="37"/>
        <v>0</v>
      </c>
      <c r="AI49" s="2"/>
      <c r="AJ49" s="2">
        <f t="shared" si="38"/>
        <v>0</v>
      </c>
      <c r="AK49" s="2"/>
      <c r="AL49" s="2"/>
      <c r="AM49" s="3">
        <v>41.4</v>
      </c>
      <c r="AN49" s="3">
        <v>1569</v>
      </c>
      <c r="AO49" s="3">
        <v>8108</v>
      </c>
      <c r="AP49" s="3">
        <v>2.4700000000000002</v>
      </c>
      <c r="AQ49" s="2"/>
      <c r="AR49" s="2"/>
      <c r="AS49" s="2"/>
      <c r="AT49" s="2"/>
      <c r="AU49" s="3">
        <v>15.5</v>
      </c>
      <c r="AV49" s="2"/>
      <c r="AW49" s="48"/>
      <c r="AX49" s="48"/>
      <c r="AY49" s="48"/>
      <c r="AZ49" s="3">
        <v>7.06</v>
      </c>
      <c r="BA49" s="43">
        <v>9.8798801150000006</v>
      </c>
      <c r="BB49" s="2"/>
      <c r="BC49" s="2"/>
      <c r="BD49" s="3">
        <v>225</v>
      </c>
      <c r="BE49" s="2">
        <f t="shared" si="24"/>
        <v>3.4403669724770638</v>
      </c>
      <c r="BF49" s="3">
        <v>236</v>
      </c>
      <c r="BG49" s="2">
        <f t="shared" si="25"/>
        <v>3.6085626911314983</v>
      </c>
      <c r="BH49" s="3">
        <v>153</v>
      </c>
      <c r="BI49" s="2">
        <f t="shared" si="26"/>
        <v>2.3394495412844036</v>
      </c>
      <c r="BJ49" s="3">
        <v>145</v>
      </c>
      <c r="BK49" s="2">
        <f t="shared" si="27"/>
        <v>2.2171253822629966</v>
      </c>
      <c r="BL49" s="3">
        <v>129</v>
      </c>
      <c r="BM49" s="2">
        <f t="shared" si="28"/>
        <v>1.9724770642201832</v>
      </c>
      <c r="BN49" s="3">
        <v>140</v>
      </c>
      <c r="BO49" s="2">
        <f t="shared" si="29"/>
        <v>2.1406727828746175</v>
      </c>
      <c r="BP49" s="3">
        <v>99</v>
      </c>
      <c r="BQ49" s="2">
        <f t="shared" si="30"/>
        <v>1.5137614678899081</v>
      </c>
      <c r="BR49" s="3">
        <v>108</v>
      </c>
      <c r="BS49" s="2">
        <f t="shared" si="31"/>
        <v>1.6513761467889907</v>
      </c>
      <c r="BT49" s="3">
        <v>125</v>
      </c>
      <c r="BU49" s="2">
        <f t="shared" si="32"/>
        <v>1.9113149847094799</v>
      </c>
      <c r="BV49" s="3">
        <v>129</v>
      </c>
      <c r="BW49" s="2">
        <f t="shared" si="14"/>
        <v>1.9724770642201832</v>
      </c>
      <c r="BX49" s="2">
        <f t="shared" si="15"/>
        <v>0.81699346405228757</v>
      </c>
      <c r="BY49" s="2">
        <f t="shared" si="16"/>
        <v>0.8896551724137931</v>
      </c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15" t="e">
        <f t="shared" si="19"/>
        <v>#DIV/0!</v>
      </c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</row>
    <row r="50" spans="1:129" ht="14.25" customHeight="1" thickBot="1">
      <c r="A50" s="34" t="s">
        <v>211</v>
      </c>
      <c r="B50" s="3">
        <v>75</v>
      </c>
      <c r="C50" s="3" t="s">
        <v>148</v>
      </c>
      <c r="D50" s="16" t="s">
        <v>150</v>
      </c>
      <c r="E50" s="3" t="s">
        <v>199</v>
      </c>
      <c r="F50" s="13">
        <v>39139</v>
      </c>
      <c r="G50" s="18" t="s">
        <v>190</v>
      </c>
      <c r="H50" s="28">
        <v>19</v>
      </c>
      <c r="I50" s="3">
        <v>86</v>
      </c>
      <c r="J50" s="3">
        <v>193</v>
      </c>
      <c r="K50" s="3">
        <f t="shared" si="0"/>
        <v>0</v>
      </c>
      <c r="L50" s="13">
        <v>46199</v>
      </c>
      <c r="M50" s="3" t="s">
        <v>147</v>
      </c>
      <c r="N50" s="3">
        <v>1298</v>
      </c>
      <c r="O50" s="3">
        <v>43</v>
      </c>
      <c r="P50" s="3">
        <v>40.5</v>
      </c>
      <c r="Q50" s="3">
        <v>9.1999999999999993</v>
      </c>
      <c r="R50" s="3">
        <v>11.2</v>
      </c>
      <c r="S50" s="3">
        <v>11.9</v>
      </c>
      <c r="T50" s="3">
        <v>14.1</v>
      </c>
      <c r="U50" s="3">
        <v>35.799999999999997</v>
      </c>
      <c r="V50" s="3">
        <v>38.9</v>
      </c>
      <c r="W50" s="3">
        <v>27.5</v>
      </c>
      <c r="X50" s="3" t="s">
        <v>212</v>
      </c>
      <c r="Y50" s="2">
        <f t="shared" si="1"/>
        <v>74.699999999999989</v>
      </c>
      <c r="Z50" s="2" t="e">
        <f t="shared" si="2"/>
        <v>#VALUE!</v>
      </c>
      <c r="AA50" s="2" t="e">
        <f t="shared" si="3"/>
        <v>#VALUE!</v>
      </c>
      <c r="AB50" s="3">
        <v>14</v>
      </c>
      <c r="AC50" s="3">
        <v>14</v>
      </c>
      <c r="AD50" s="3">
        <v>14</v>
      </c>
      <c r="AE50" s="3">
        <v>14</v>
      </c>
      <c r="AF50" s="3">
        <v>23</v>
      </c>
      <c r="AG50" s="2"/>
      <c r="AH50" s="2">
        <f t="shared" si="37"/>
        <v>0</v>
      </c>
      <c r="AI50" s="2"/>
      <c r="AJ50" s="2">
        <f t="shared" si="38"/>
        <v>0</v>
      </c>
      <c r="AK50" s="2"/>
      <c r="AL50" s="2"/>
      <c r="AM50" s="3">
        <v>42.7</v>
      </c>
      <c r="AN50" s="3">
        <v>2439</v>
      </c>
      <c r="AO50" s="3">
        <v>18011</v>
      </c>
      <c r="AP50" s="3">
        <v>2.21</v>
      </c>
      <c r="AQ50" s="2"/>
      <c r="AR50" s="2"/>
      <c r="AS50" s="2"/>
      <c r="AT50" s="2"/>
      <c r="AU50" s="3">
        <v>17.5</v>
      </c>
      <c r="AV50" s="2"/>
      <c r="AW50" s="49"/>
      <c r="AX50" s="49"/>
      <c r="AY50" s="49"/>
      <c r="AZ50" s="3">
        <v>7.87</v>
      </c>
      <c r="BA50" s="43">
        <v>8.5428481620000003</v>
      </c>
      <c r="BB50" s="2"/>
      <c r="BC50" s="2"/>
      <c r="BD50" s="3">
        <v>187</v>
      </c>
      <c r="BE50" s="2">
        <f t="shared" si="24"/>
        <v>2.1744186046511627</v>
      </c>
      <c r="BF50" s="3">
        <v>245</v>
      </c>
      <c r="BG50" s="2">
        <f t="shared" si="25"/>
        <v>2.8488372093023258</v>
      </c>
      <c r="BH50" s="3">
        <v>141</v>
      </c>
      <c r="BI50" s="2">
        <f t="shared" si="26"/>
        <v>1.6395348837209303</v>
      </c>
      <c r="BJ50" s="3">
        <v>178</v>
      </c>
      <c r="BK50" s="2">
        <f t="shared" si="27"/>
        <v>2.0697674418604652</v>
      </c>
      <c r="BL50" s="3">
        <v>155</v>
      </c>
      <c r="BM50" s="2">
        <f t="shared" si="28"/>
        <v>1.8023255813953489</v>
      </c>
      <c r="BN50" s="3">
        <v>171</v>
      </c>
      <c r="BO50" s="2">
        <f t="shared" si="29"/>
        <v>1.9883720930232558</v>
      </c>
      <c r="BP50" s="3">
        <v>102</v>
      </c>
      <c r="BQ50" s="2">
        <f t="shared" si="30"/>
        <v>1.1860465116279071</v>
      </c>
      <c r="BR50" s="3">
        <v>131</v>
      </c>
      <c r="BS50" s="2">
        <f t="shared" si="31"/>
        <v>1.5232558139534884</v>
      </c>
      <c r="BT50" s="3">
        <v>221</v>
      </c>
      <c r="BU50" s="2">
        <f t="shared" si="32"/>
        <v>2.5697674418604652</v>
      </c>
      <c r="BV50" s="3">
        <v>236</v>
      </c>
      <c r="BW50" s="2">
        <f t="shared" si="14"/>
        <v>2.7441860465116279</v>
      </c>
      <c r="BX50" s="2">
        <f t="shared" si="15"/>
        <v>1.5673758865248226</v>
      </c>
      <c r="BY50" s="2">
        <f t="shared" si="16"/>
        <v>1.3258426966292134</v>
      </c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15" t="e">
        <f t="shared" si="19"/>
        <v>#DIV/0!</v>
      </c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</row>
    <row r="51" spans="1:129" ht="14.25" customHeight="1" thickBot="1">
      <c r="A51" s="34" t="s">
        <v>213</v>
      </c>
      <c r="B51" s="3">
        <v>81</v>
      </c>
      <c r="C51" s="3" t="s">
        <v>148</v>
      </c>
      <c r="D51" s="10" t="s">
        <v>159</v>
      </c>
      <c r="E51" s="3" t="s">
        <v>160</v>
      </c>
      <c r="F51" s="33">
        <v>39409</v>
      </c>
      <c r="G51" s="12" t="s">
        <v>190</v>
      </c>
      <c r="H51" s="20">
        <v>19</v>
      </c>
      <c r="I51" s="3">
        <v>79</v>
      </c>
      <c r="J51" s="3">
        <v>182.5</v>
      </c>
      <c r="K51" s="3">
        <f t="shared" si="0"/>
        <v>0</v>
      </c>
      <c r="L51" s="13">
        <v>46199</v>
      </c>
      <c r="M51" s="3" t="s">
        <v>147</v>
      </c>
      <c r="N51" s="2"/>
      <c r="O51" s="2"/>
      <c r="P51" s="2"/>
      <c r="Q51" s="3">
        <v>10.9</v>
      </c>
      <c r="R51" s="3">
        <v>9.4</v>
      </c>
      <c r="S51" s="3">
        <v>10.8</v>
      </c>
      <c r="T51" s="3">
        <v>9.8000000000000007</v>
      </c>
      <c r="U51" s="3">
        <v>20.8</v>
      </c>
      <c r="V51" s="3">
        <v>21.7</v>
      </c>
      <c r="W51" s="3">
        <v>22.8</v>
      </c>
      <c r="X51" s="3">
        <v>24.1</v>
      </c>
      <c r="Y51" s="2">
        <f t="shared" si="1"/>
        <v>42.5</v>
      </c>
      <c r="Z51" s="2">
        <f t="shared" si="2"/>
        <v>46.900000000000006</v>
      </c>
      <c r="AA51" s="2">
        <f t="shared" si="3"/>
        <v>0.90618336886993589</v>
      </c>
      <c r="AB51" s="3">
        <v>19</v>
      </c>
      <c r="AC51" s="3">
        <v>18</v>
      </c>
      <c r="AD51" s="3">
        <v>7</v>
      </c>
      <c r="AE51" s="3">
        <v>9</v>
      </c>
      <c r="AF51" s="3">
        <v>40</v>
      </c>
      <c r="AG51" s="2"/>
      <c r="AH51" s="2">
        <f t="shared" si="37"/>
        <v>0</v>
      </c>
      <c r="AI51" s="2"/>
      <c r="AJ51" s="2">
        <f t="shared" si="38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48"/>
      <c r="AX51" s="48"/>
      <c r="AY51" s="48"/>
      <c r="AZ51" s="3">
        <v>6.53</v>
      </c>
      <c r="BA51" s="43">
        <v>7.5143338069999999</v>
      </c>
      <c r="BB51" s="2"/>
      <c r="BC51" s="2"/>
      <c r="BD51" s="3">
        <v>150.6</v>
      </c>
      <c r="BE51" s="2">
        <f t="shared" si="24"/>
        <v>1.9063291139240506</v>
      </c>
      <c r="BF51" s="3">
        <v>254</v>
      </c>
      <c r="BG51" s="2">
        <f t="shared" si="25"/>
        <v>3.2151898734177213</v>
      </c>
      <c r="BH51" s="3">
        <v>130.80000000000001</v>
      </c>
      <c r="BI51" s="2">
        <f t="shared" si="26"/>
        <v>1.6556962025316457</v>
      </c>
      <c r="BJ51" s="3">
        <v>192</v>
      </c>
      <c r="BK51" s="2">
        <f t="shared" si="27"/>
        <v>2.4303797468354431</v>
      </c>
      <c r="BL51" s="3">
        <v>180</v>
      </c>
      <c r="BM51" s="2">
        <f t="shared" si="28"/>
        <v>2.278481012658228</v>
      </c>
      <c r="BN51" s="3">
        <v>170</v>
      </c>
      <c r="BO51" s="2">
        <f t="shared" si="29"/>
        <v>2.1518987341772151</v>
      </c>
      <c r="BP51" s="3">
        <v>171</v>
      </c>
      <c r="BQ51" s="2">
        <f t="shared" si="30"/>
        <v>2.1645569620253164</v>
      </c>
      <c r="BR51" s="3">
        <v>142</v>
      </c>
      <c r="BS51" s="2">
        <f t="shared" si="31"/>
        <v>1.7974683544303798</v>
      </c>
      <c r="BT51" s="3">
        <v>230</v>
      </c>
      <c r="BU51" s="2">
        <f t="shared" si="32"/>
        <v>2.9113924050632911</v>
      </c>
      <c r="BV51" s="3">
        <v>213</v>
      </c>
      <c r="BW51" s="2">
        <f t="shared" si="14"/>
        <v>2.6962025316455698</v>
      </c>
      <c r="BX51" s="2">
        <f t="shared" si="15"/>
        <v>1.7584097859327215</v>
      </c>
      <c r="BY51" s="2">
        <f t="shared" si="16"/>
        <v>1.109375</v>
      </c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15" t="e">
        <f t="shared" si="19"/>
        <v>#DIV/0!</v>
      </c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</row>
    <row r="52" spans="1:129" ht="14.25" customHeight="1" thickBot="1">
      <c r="A52" s="34" t="s">
        <v>214</v>
      </c>
      <c r="B52" s="3">
        <v>47</v>
      </c>
      <c r="C52" s="3" t="s">
        <v>148</v>
      </c>
      <c r="D52" s="16" t="s">
        <v>144</v>
      </c>
      <c r="E52" s="3" t="s">
        <v>171</v>
      </c>
      <c r="F52" s="13">
        <v>39641</v>
      </c>
      <c r="G52" s="18" t="s">
        <v>215</v>
      </c>
      <c r="H52" s="28">
        <v>18</v>
      </c>
      <c r="I52" s="3">
        <v>72.3</v>
      </c>
      <c r="J52" s="3">
        <v>185</v>
      </c>
      <c r="K52" s="3">
        <f t="shared" si="0"/>
        <v>34</v>
      </c>
      <c r="L52" s="13">
        <v>46202</v>
      </c>
      <c r="M52" s="3" t="s">
        <v>147</v>
      </c>
      <c r="N52" s="3">
        <v>1027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>
        <f t="shared" si="1"/>
        <v>0</v>
      </c>
      <c r="Z52" s="2">
        <f t="shared" si="2"/>
        <v>0</v>
      </c>
      <c r="AA52" s="2" t="e">
        <f t="shared" si="3"/>
        <v>#DIV/0!</v>
      </c>
      <c r="AB52" s="2"/>
      <c r="AC52" s="2"/>
      <c r="AD52" s="2"/>
      <c r="AE52" s="2"/>
      <c r="AF52" s="2"/>
      <c r="AG52" s="2"/>
      <c r="AH52" s="2">
        <f t="shared" si="37"/>
        <v>0</v>
      </c>
      <c r="AI52" s="2"/>
      <c r="AJ52" s="2">
        <f t="shared" si="38"/>
        <v>0</v>
      </c>
      <c r="AK52" s="2"/>
      <c r="AL52" s="2"/>
      <c r="AM52" s="3">
        <v>38.4</v>
      </c>
      <c r="AN52" s="3">
        <v>1785</v>
      </c>
      <c r="AO52" s="3">
        <v>8941</v>
      </c>
      <c r="AP52" s="2"/>
      <c r="AQ52" s="2"/>
      <c r="AR52" s="2"/>
      <c r="AS52" s="2"/>
      <c r="AT52" s="2"/>
      <c r="AU52" s="3">
        <v>19</v>
      </c>
      <c r="AV52" s="2"/>
      <c r="AW52" s="49"/>
      <c r="AX52" s="49"/>
      <c r="AY52" s="49"/>
      <c r="AZ52" s="3">
        <v>6.97</v>
      </c>
      <c r="BA52" s="43">
        <v>9.4502646929999994</v>
      </c>
      <c r="BB52" s="2"/>
      <c r="BC52" s="2"/>
      <c r="BD52" s="2"/>
      <c r="BE52" s="2">
        <f t="shared" si="24"/>
        <v>0</v>
      </c>
      <c r="BF52" s="2"/>
      <c r="BG52" s="2">
        <f t="shared" si="25"/>
        <v>0</v>
      </c>
      <c r="BH52" s="2"/>
      <c r="BI52" s="2">
        <f t="shared" si="26"/>
        <v>0</v>
      </c>
      <c r="BJ52" s="2"/>
      <c r="BK52" s="2">
        <f t="shared" si="27"/>
        <v>0</v>
      </c>
      <c r="BL52" s="2"/>
      <c r="BM52" s="2">
        <f t="shared" si="28"/>
        <v>0</v>
      </c>
      <c r="BN52" s="2"/>
      <c r="BO52" s="2">
        <f t="shared" si="29"/>
        <v>0</v>
      </c>
      <c r="BP52" s="2"/>
      <c r="BQ52" s="2">
        <f t="shared" si="30"/>
        <v>0</v>
      </c>
      <c r="BR52" s="2"/>
      <c r="BS52" s="2">
        <f t="shared" si="31"/>
        <v>0</v>
      </c>
      <c r="BT52" s="2"/>
      <c r="BU52" s="2">
        <f t="shared" si="32"/>
        <v>0</v>
      </c>
      <c r="BV52" s="2"/>
      <c r="BW52" s="2">
        <f t="shared" si="14"/>
        <v>0</v>
      </c>
      <c r="BX52" s="2" t="e">
        <f t="shared" si="15"/>
        <v>#DIV/0!</v>
      </c>
      <c r="BY52" s="2" t="e">
        <f t="shared" si="16"/>
        <v>#DIV/0!</v>
      </c>
      <c r="BZ52" s="2">
        <v>4</v>
      </c>
      <c r="CA52" s="2">
        <v>6</v>
      </c>
      <c r="CB52" s="2">
        <v>2</v>
      </c>
      <c r="CC52" s="2">
        <v>6.5</v>
      </c>
      <c r="CD52" s="2">
        <v>3</v>
      </c>
      <c r="CE52" s="2">
        <v>5</v>
      </c>
      <c r="CF52" s="2">
        <v>5</v>
      </c>
      <c r="CG52" s="2">
        <v>2.5</v>
      </c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15" t="e">
        <f t="shared" si="19"/>
        <v>#DIV/0!</v>
      </c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</row>
    <row r="53" spans="1:129" ht="14.25" customHeight="1" thickBot="1">
      <c r="A53" s="34" t="s">
        <v>216</v>
      </c>
      <c r="B53" s="3">
        <v>58</v>
      </c>
      <c r="C53" s="3" t="s">
        <v>148</v>
      </c>
      <c r="D53" s="10" t="s">
        <v>159</v>
      </c>
      <c r="E53" s="3" t="s">
        <v>173</v>
      </c>
      <c r="F53" s="13">
        <v>39582</v>
      </c>
      <c r="G53" s="12" t="s">
        <v>215</v>
      </c>
      <c r="H53" s="18">
        <v>18</v>
      </c>
      <c r="I53" s="3">
        <v>67</v>
      </c>
      <c r="J53" s="3">
        <v>177.5</v>
      </c>
      <c r="K53" s="3">
        <f t="shared" si="0"/>
        <v>49.5</v>
      </c>
      <c r="L53" s="13">
        <v>46202</v>
      </c>
      <c r="M53" s="3" t="s">
        <v>147</v>
      </c>
      <c r="N53" s="3">
        <v>961</v>
      </c>
      <c r="O53" s="3">
        <v>37.5</v>
      </c>
      <c r="P53" s="3">
        <v>35.6</v>
      </c>
      <c r="Q53" s="3">
        <v>10</v>
      </c>
      <c r="R53" s="3">
        <v>8.8000000000000007</v>
      </c>
      <c r="S53" s="3">
        <v>9</v>
      </c>
      <c r="T53" s="3">
        <v>9.1</v>
      </c>
      <c r="U53" s="3">
        <v>25.4</v>
      </c>
      <c r="V53" s="3">
        <v>25.8</v>
      </c>
      <c r="W53" s="3">
        <v>21.3</v>
      </c>
      <c r="X53" s="3">
        <v>21.8</v>
      </c>
      <c r="Y53" s="2">
        <f t="shared" si="1"/>
        <v>51.2</v>
      </c>
      <c r="Z53" s="2">
        <f t="shared" si="2"/>
        <v>43.1</v>
      </c>
      <c r="AA53" s="2">
        <f t="shared" si="3"/>
        <v>1.1879350348027842</v>
      </c>
      <c r="AB53" s="3">
        <v>17</v>
      </c>
      <c r="AC53" s="3">
        <v>19</v>
      </c>
      <c r="AD53" s="3">
        <v>12</v>
      </c>
      <c r="AE53" s="3">
        <v>13</v>
      </c>
      <c r="AF53" s="3">
        <v>26</v>
      </c>
      <c r="AG53" s="2"/>
      <c r="AH53" s="2">
        <f t="shared" si="37"/>
        <v>0</v>
      </c>
      <c r="AI53" s="2"/>
      <c r="AJ53" s="2">
        <f t="shared" si="38"/>
        <v>0</v>
      </c>
      <c r="AK53" s="2"/>
      <c r="AL53" s="2"/>
      <c r="AM53" s="3">
        <v>37.4</v>
      </c>
      <c r="AN53" s="3">
        <v>1438</v>
      </c>
      <c r="AO53" s="3">
        <v>9762</v>
      </c>
      <c r="AP53" s="3">
        <v>3.07</v>
      </c>
      <c r="AQ53" s="2"/>
      <c r="AR53" s="2"/>
      <c r="AS53" s="2"/>
      <c r="AT53" s="2"/>
      <c r="AU53" s="3">
        <v>18</v>
      </c>
      <c r="AV53" s="2"/>
      <c r="AW53" s="48"/>
      <c r="AX53" s="48"/>
      <c r="AY53" s="48"/>
      <c r="AZ53" s="3">
        <v>6.6</v>
      </c>
      <c r="BA53" s="43">
        <v>9.2379655019999998</v>
      </c>
      <c r="BB53" s="2"/>
      <c r="BC53" s="2"/>
      <c r="BD53" s="3">
        <v>215</v>
      </c>
      <c r="BE53" s="2">
        <f t="shared" si="24"/>
        <v>3.2089552238805972</v>
      </c>
      <c r="BF53" s="3">
        <v>185</v>
      </c>
      <c r="BG53" s="2">
        <f t="shared" si="25"/>
        <v>2.7611940298507465</v>
      </c>
      <c r="BH53" s="3">
        <v>121</v>
      </c>
      <c r="BI53" s="2">
        <f t="shared" si="26"/>
        <v>1.8059701492537314</v>
      </c>
      <c r="BJ53" s="3">
        <v>130</v>
      </c>
      <c r="BK53" s="2">
        <f t="shared" si="27"/>
        <v>1.9402985074626866</v>
      </c>
      <c r="BL53" s="3">
        <v>117</v>
      </c>
      <c r="BM53" s="2">
        <f t="shared" si="28"/>
        <v>1.7462686567164178</v>
      </c>
      <c r="BN53" s="3">
        <v>116</v>
      </c>
      <c r="BO53" s="2">
        <f t="shared" si="29"/>
        <v>1.7313432835820894</v>
      </c>
      <c r="BP53" s="3">
        <v>121</v>
      </c>
      <c r="BQ53" s="2">
        <f t="shared" si="30"/>
        <v>1.8059701492537314</v>
      </c>
      <c r="BR53" s="3">
        <v>115</v>
      </c>
      <c r="BS53" s="2">
        <f t="shared" si="31"/>
        <v>1.7164179104477613</v>
      </c>
      <c r="BT53" s="3">
        <v>159</v>
      </c>
      <c r="BU53" s="2">
        <f t="shared" si="32"/>
        <v>2.3731343283582089</v>
      </c>
      <c r="BV53" s="3">
        <v>172</v>
      </c>
      <c r="BW53" s="2">
        <f t="shared" si="14"/>
        <v>2.5671641791044775</v>
      </c>
      <c r="BX53" s="2">
        <f t="shared" si="15"/>
        <v>1.3140495867768596</v>
      </c>
      <c r="BY53" s="2">
        <f t="shared" si="16"/>
        <v>1.323076923076923</v>
      </c>
      <c r="BZ53" s="2">
        <v>5</v>
      </c>
      <c r="CA53" s="2">
        <v>7.5</v>
      </c>
      <c r="CB53" s="2">
        <v>2.5</v>
      </c>
      <c r="CC53" s="2">
        <v>7.5</v>
      </c>
      <c r="CD53" s="2">
        <v>4</v>
      </c>
      <c r="CE53" s="2">
        <v>7.5</v>
      </c>
      <c r="CF53" s="2">
        <v>11</v>
      </c>
      <c r="CG53" s="2">
        <v>4.5</v>
      </c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15" t="e">
        <f t="shared" si="19"/>
        <v>#DIV/0!</v>
      </c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</row>
    <row r="54" spans="1:129" ht="14.25" customHeight="1" thickBot="1">
      <c r="A54" s="35" t="s">
        <v>217</v>
      </c>
      <c r="B54" s="3">
        <v>65</v>
      </c>
      <c r="C54" s="3" t="s">
        <v>148</v>
      </c>
      <c r="D54" s="16" t="s">
        <v>144</v>
      </c>
      <c r="E54" s="3" t="s">
        <v>145</v>
      </c>
      <c r="F54" s="13">
        <v>38159</v>
      </c>
      <c r="G54" s="18" t="s">
        <v>190</v>
      </c>
      <c r="H54" s="12">
        <v>22</v>
      </c>
      <c r="I54" s="3">
        <v>71.900000000000006</v>
      </c>
      <c r="J54" s="3">
        <v>176</v>
      </c>
      <c r="K54" s="3">
        <f t="shared" si="0"/>
        <v>44</v>
      </c>
      <c r="L54" s="13">
        <v>46199</v>
      </c>
      <c r="M54" s="3" t="s">
        <v>147</v>
      </c>
      <c r="N54" s="3">
        <v>1085</v>
      </c>
      <c r="O54" s="3">
        <v>34.799999999999997</v>
      </c>
      <c r="P54" s="3">
        <v>37</v>
      </c>
      <c r="Q54" s="3">
        <v>11.2</v>
      </c>
      <c r="R54" s="3">
        <v>9.4</v>
      </c>
      <c r="S54" s="3">
        <v>10.199999999999999</v>
      </c>
      <c r="T54" s="3">
        <v>8.9</v>
      </c>
      <c r="U54" s="3">
        <v>26.7</v>
      </c>
      <c r="V54" s="3">
        <v>28.5</v>
      </c>
      <c r="W54" s="3">
        <v>25.9</v>
      </c>
      <c r="X54" s="3">
        <v>25.9</v>
      </c>
      <c r="Y54" s="2">
        <f t="shared" si="1"/>
        <v>55.2</v>
      </c>
      <c r="Z54" s="2">
        <f t="shared" si="2"/>
        <v>51.8</v>
      </c>
      <c r="AA54" s="2">
        <f t="shared" si="3"/>
        <v>1.0656370656370657</v>
      </c>
      <c r="AB54" s="3">
        <v>18</v>
      </c>
      <c r="AC54" s="3">
        <v>18</v>
      </c>
      <c r="AD54" s="2"/>
      <c r="AE54" s="2"/>
      <c r="AF54" s="2"/>
      <c r="AG54" s="2"/>
      <c r="AH54" s="2">
        <f t="shared" si="37"/>
        <v>0</v>
      </c>
      <c r="AI54" s="2"/>
      <c r="AJ54" s="2">
        <f t="shared" si="38"/>
        <v>0</v>
      </c>
      <c r="AK54" s="2"/>
      <c r="AL54" s="2"/>
      <c r="AM54" s="3">
        <v>44.2</v>
      </c>
      <c r="AN54" s="3">
        <v>2055</v>
      </c>
      <c r="AO54" s="3">
        <v>15972</v>
      </c>
      <c r="AP54" s="3">
        <v>3.37</v>
      </c>
      <c r="AQ54" s="2"/>
      <c r="AR54" s="2"/>
      <c r="AS54" s="2"/>
      <c r="AT54" s="2"/>
      <c r="AU54" s="3">
        <v>17</v>
      </c>
      <c r="AV54" s="2"/>
      <c r="AW54" s="50"/>
      <c r="AX54" s="50"/>
      <c r="AY54" s="50"/>
      <c r="AZ54" s="3">
        <v>6.43</v>
      </c>
      <c r="BA54" s="43">
        <v>8.1509721709999994</v>
      </c>
      <c r="BB54" s="2"/>
      <c r="BC54" s="2"/>
      <c r="BD54" s="3">
        <v>214</v>
      </c>
      <c r="BE54" s="2">
        <f t="shared" si="24"/>
        <v>2.976356050069541</v>
      </c>
      <c r="BF54" s="3">
        <v>207</v>
      </c>
      <c r="BG54" s="2">
        <f t="shared" si="25"/>
        <v>2.8789986091794155</v>
      </c>
      <c r="BH54" s="3">
        <v>153</v>
      </c>
      <c r="BI54" s="2">
        <f t="shared" si="26"/>
        <v>2.127955493741307</v>
      </c>
      <c r="BJ54" s="3">
        <v>127</v>
      </c>
      <c r="BK54" s="2">
        <f t="shared" si="27"/>
        <v>1.7663421418636995</v>
      </c>
      <c r="BL54" s="3">
        <v>116</v>
      </c>
      <c r="BM54" s="2">
        <f t="shared" si="28"/>
        <v>1.6133518776077884</v>
      </c>
      <c r="BN54" s="3">
        <v>135</v>
      </c>
      <c r="BO54" s="2">
        <f t="shared" si="29"/>
        <v>1.8776077885952711</v>
      </c>
      <c r="BP54" s="3">
        <v>96</v>
      </c>
      <c r="BQ54" s="2">
        <f t="shared" si="30"/>
        <v>1.3351877607788594</v>
      </c>
      <c r="BR54" s="3">
        <v>104</v>
      </c>
      <c r="BS54" s="2">
        <f t="shared" si="31"/>
        <v>1.4464534075104309</v>
      </c>
      <c r="BT54" s="3">
        <v>118</v>
      </c>
      <c r="BU54" s="2">
        <f t="shared" si="32"/>
        <v>1.6411682892906814</v>
      </c>
      <c r="BV54" s="3">
        <v>119</v>
      </c>
      <c r="BW54" s="2">
        <f t="shared" si="14"/>
        <v>1.6550764951321277</v>
      </c>
      <c r="BX54" s="2">
        <f t="shared" si="15"/>
        <v>0.77124183006535951</v>
      </c>
      <c r="BY54" s="2">
        <f t="shared" si="16"/>
        <v>0.93700787401574803</v>
      </c>
      <c r="BZ54" s="2">
        <v>5</v>
      </c>
      <c r="CA54" s="2">
        <v>7.5</v>
      </c>
      <c r="CB54" s="2">
        <v>1.5</v>
      </c>
      <c r="CC54" s="2">
        <v>8.5</v>
      </c>
      <c r="CD54" s="2">
        <v>4.5</v>
      </c>
      <c r="CE54" s="2">
        <v>6.5</v>
      </c>
      <c r="CF54" s="2">
        <v>6.5</v>
      </c>
      <c r="CG54" s="2">
        <v>4</v>
      </c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15" t="e">
        <f t="shared" si="19"/>
        <v>#DIV/0!</v>
      </c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</row>
    <row r="55" spans="1:129" ht="14.25" customHeight="1" thickBot="1">
      <c r="A55" s="34" t="s">
        <v>218</v>
      </c>
      <c r="B55" s="3">
        <v>57</v>
      </c>
      <c r="C55" s="3" t="s">
        <v>143</v>
      </c>
      <c r="D55" s="16" t="s">
        <v>150</v>
      </c>
      <c r="E55" s="3" t="s">
        <v>199</v>
      </c>
      <c r="F55" s="13">
        <v>39636</v>
      </c>
      <c r="G55" s="12" t="s">
        <v>215</v>
      </c>
      <c r="H55" s="18">
        <v>18</v>
      </c>
      <c r="I55" s="3">
        <v>71</v>
      </c>
      <c r="J55" s="3">
        <v>175</v>
      </c>
      <c r="K55" s="3">
        <f t="shared" si="0"/>
        <v>49</v>
      </c>
      <c r="L55" s="13">
        <v>46202</v>
      </c>
      <c r="M55" s="3" t="s">
        <v>147</v>
      </c>
      <c r="N55" s="3">
        <v>926</v>
      </c>
      <c r="O55" s="3">
        <v>34.6</v>
      </c>
      <c r="P55" s="3">
        <v>34</v>
      </c>
      <c r="Q55" s="3">
        <v>9.4</v>
      </c>
      <c r="R55" s="3">
        <v>11.3</v>
      </c>
      <c r="S55" s="3">
        <v>7.6</v>
      </c>
      <c r="T55" s="3">
        <v>10.4</v>
      </c>
      <c r="U55" s="3">
        <v>20.9</v>
      </c>
      <c r="V55" s="3">
        <v>19.600000000000001</v>
      </c>
      <c r="W55" s="3">
        <v>20</v>
      </c>
      <c r="X55" s="3">
        <v>19.899999999999999</v>
      </c>
      <c r="Y55" s="2">
        <f t="shared" si="1"/>
        <v>40.5</v>
      </c>
      <c r="Z55" s="2">
        <f t="shared" si="2"/>
        <v>39.9</v>
      </c>
      <c r="AA55" s="2">
        <f t="shared" si="3"/>
        <v>1.0150375939849625</v>
      </c>
      <c r="AB55" s="3">
        <v>17</v>
      </c>
      <c r="AC55" s="3">
        <v>15</v>
      </c>
      <c r="AD55" s="3">
        <v>8</v>
      </c>
      <c r="AE55" s="3">
        <v>9</v>
      </c>
      <c r="AF55" s="3">
        <v>33.5</v>
      </c>
      <c r="AG55" s="2"/>
      <c r="AH55" s="2">
        <f t="shared" si="37"/>
        <v>0</v>
      </c>
      <c r="AI55" s="2"/>
      <c r="AJ55" s="2">
        <f t="shared" si="38"/>
        <v>0</v>
      </c>
      <c r="AK55" s="2"/>
      <c r="AL55" s="2"/>
      <c r="AM55" s="3">
        <v>38</v>
      </c>
      <c r="AN55" s="3">
        <v>1805</v>
      </c>
      <c r="AO55" s="3">
        <v>11450</v>
      </c>
      <c r="AP55" s="3">
        <v>2.69</v>
      </c>
      <c r="AQ55" s="2"/>
      <c r="AR55" s="2"/>
      <c r="AS55" s="2"/>
      <c r="AT55" s="2"/>
      <c r="AU55" s="3">
        <v>18</v>
      </c>
      <c r="AV55" s="2"/>
      <c r="AW55" s="48"/>
      <c r="AX55" s="48"/>
      <c r="AY55" s="48"/>
      <c r="AZ55" s="3">
        <v>7.08</v>
      </c>
      <c r="BA55" s="43">
        <v>9.9336819849999998</v>
      </c>
      <c r="BB55" s="2"/>
      <c r="BC55" s="2"/>
      <c r="BD55" s="3">
        <v>226</v>
      </c>
      <c r="BE55" s="2">
        <f t="shared" si="24"/>
        <v>3.183098591549296</v>
      </c>
      <c r="BF55" s="3">
        <v>223</v>
      </c>
      <c r="BG55" s="2">
        <f t="shared" si="25"/>
        <v>3.140845070422535</v>
      </c>
      <c r="BH55" s="3">
        <v>142</v>
      </c>
      <c r="BI55" s="2">
        <f t="shared" si="26"/>
        <v>2</v>
      </c>
      <c r="BJ55" s="3">
        <v>173</v>
      </c>
      <c r="BK55" s="2">
        <f t="shared" si="27"/>
        <v>2.436619718309859</v>
      </c>
      <c r="BL55" s="3">
        <v>125</v>
      </c>
      <c r="BM55" s="2">
        <f t="shared" si="28"/>
        <v>1.7605633802816902</v>
      </c>
      <c r="BN55" s="3">
        <v>127</v>
      </c>
      <c r="BO55" s="2">
        <f t="shared" si="29"/>
        <v>1.7887323943661972</v>
      </c>
      <c r="BP55" s="3">
        <v>99</v>
      </c>
      <c r="BQ55" s="2">
        <f t="shared" si="30"/>
        <v>1.3943661971830985</v>
      </c>
      <c r="BR55" s="3">
        <v>109</v>
      </c>
      <c r="BS55" s="2">
        <f t="shared" si="31"/>
        <v>1.5352112676056338</v>
      </c>
      <c r="BT55" s="3">
        <v>135</v>
      </c>
      <c r="BU55" s="2">
        <f t="shared" si="32"/>
        <v>1.9014084507042253</v>
      </c>
      <c r="BV55" s="3">
        <v>123</v>
      </c>
      <c r="BW55" s="2">
        <f t="shared" si="14"/>
        <v>1.732394366197183</v>
      </c>
      <c r="BX55" s="2">
        <f t="shared" si="15"/>
        <v>0.95070422535211263</v>
      </c>
      <c r="BY55" s="2">
        <f t="shared" si="16"/>
        <v>0.71098265895953761</v>
      </c>
      <c r="BZ55" s="2">
        <v>3.5</v>
      </c>
      <c r="CA55" s="2">
        <v>7.5</v>
      </c>
      <c r="CB55" s="2">
        <v>2.5</v>
      </c>
      <c r="CC55" s="2">
        <v>10.5</v>
      </c>
      <c r="CD55" s="2">
        <v>6.5</v>
      </c>
      <c r="CE55" s="2">
        <v>7.5</v>
      </c>
      <c r="CF55" s="2">
        <v>6</v>
      </c>
      <c r="CG55" s="2">
        <v>5</v>
      </c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15" t="e">
        <f t="shared" si="19"/>
        <v>#DIV/0!</v>
      </c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</row>
    <row r="56" spans="1:129" ht="14.25" customHeight="1" thickBot="1">
      <c r="A56" s="35" t="s">
        <v>219</v>
      </c>
      <c r="B56" s="3">
        <v>45</v>
      </c>
      <c r="C56" s="3" t="s">
        <v>148</v>
      </c>
      <c r="D56" s="10" t="s">
        <v>159</v>
      </c>
      <c r="E56" s="3" t="s">
        <v>173</v>
      </c>
      <c r="F56" s="13">
        <v>40213</v>
      </c>
      <c r="G56" s="18" t="s">
        <v>215</v>
      </c>
      <c r="H56" s="28">
        <v>16</v>
      </c>
      <c r="I56" s="3">
        <v>74.5</v>
      </c>
      <c r="J56" s="3">
        <v>184</v>
      </c>
      <c r="K56" s="3">
        <f t="shared" si="0"/>
        <v>58</v>
      </c>
      <c r="L56" s="13">
        <v>46199</v>
      </c>
      <c r="M56" s="3" t="s">
        <v>147</v>
      </c>
      <c r="N56" s="3">
        <v>1080</v>
      </c>
      <c r="O56" s="3">
        <v>34.9</v>
      </c>
      <c r="P56" s="3">
        <v>35.9</v>
      </c>
      <c r="Q56" s="3">
        <v>10.3</v>
      </c>
      <c r="R56" s="3">
        <v>8</v>
      </c>
      <c r="S56" s="3">
        <v>12.4</v>
      </c>
      <c r="T56" s="3">
        <v>11.5</v>
      </c>
      <c r="U56" s="3">
        <v>31.4</v>
      </c>
      <c r="V56" s="3">
        <v>30.6</v>
      </c>
      <c r="W56" s="3">
        <v>16.100000000000001</v>
      </c>
      <c r="X56" s="3">
        <v>16.100000000000001</v>
      </c>
      <c r="Y56" s="2">
        <f t="shared" si="1"/>
        <v>62</v>
      </c>
      <c r="Z56" s="2">
        <f t="shared" si="2"/>
        <v>32.200000000000003</v>
      </c>
      <c r="AA56" s="2">
        <f t="shared" si="3"/>
        <v>1.9254658385093166</v>
      </c>
      <c r="AB56" s="3">
        <v>15</v>
      </c>
      <c r="AC56" s="3">
        <v>17</v>
      </c>
      <c r="AD56" s="3">
        <v>12</v>
      </c>
      <c r="AE56" s="3">
        <v>15</v>
      </c>
      <c r="AF56" s="3">
        <v>31.5</v>
      </c>
      <c r="AG56" s="2"/>
      <c r="AH56" s="2">
        <f t="shared" si="37"/>
        <v>0</v>
      </c>
      <c r="AI56" s="2"/>
      <c r="AJ56" s="2">
        <f t="shared" si="38"/>
        <v>0</v>
      </c>
      <c r="AK56" s="2"/>
      <c r="AL56" s="2"/>
      <c r="AM56" s="3">
        <v>30</v>
      </c>
      <c r="AN56" s="3">
        <v>1885</v>
      </c>
      <c r="AO56" s="3">
        <v>12456</v>
      </c>
      <c r="AP56" s="3">
        <v>2.58</v>
      </c>
      <c r="AQ56" s="2"/>
      <c r="AR56" s="2"/>
      <c r="AS56" s="2"/>
      <c r="AT56" s="2"/>
      <c r="AU56" s="3">
        <v>17.5</v>
      </c>
      <c r="AV56" s="2"/>
      <c r="AW56" s="49"/>
      <c r="AX56" s="49"/>
      <c r="AY56" s="49"/>
      <c r="AZ56" s="3">
        <v>6.61</v>
      </c>
      <c r="BA56" s="43">
        <v>9.3679445589999997</v>
      </c>
      <c r="BB56" s="2"/>
      <c r="BC56" s="2"/>
      <c r="BD56" s="3">
        <v>232</v>
      </c>
      <c r="BE56" s="2">
        <f t="shared" si="24"/>
        <v>3.1140939597315436</v>
      </c>
      <c r="BF56" s="3">
        <v>279</v>
      </c>
      <c r="BG56" s="2">
        <f t="shared" si="25"/>
        <v>3.7449664429530203</v>
      </c>
      <c r="BH56" s="3">
        <v>131</v>
      </c>
      <c r="BI56" s="2">
        <f t="shared" si="26"/>
        <v>1.7583892617449663</v>
      </c>
      <c r="BJ56" s="3">
        <v>171</v>
      </c>
      <c r="BK56" s="2">
        <f t="shared" si="27"/>
        <v>2.2953020134228188</v>
      </c>
      <c r="BL56" s="3">
        <v>142</v>
      </c>
      <c r="BM56" s="2">
        <f t="shared" si="28"/>
        <v>1.9060402684563758</v>
      </c>
      <c r="BN56" s="3">
        <v>122</v>
      </c>
      <c r="BO56" s="2">
        <f t="shared" si="29"/>
        <v>1.6375838926174497</v>
      </c>
      <c r="BP56" s="3">
        <v>154</v>
      </c>
      <c r="BQ56" s="2">
        <f t="shared" si="30"/>
        <v>2.0671140939597317</v>
      </c>
      <c r="BR56" s="3">
        <v>132</v>
      </c>
      <c r="BS56" s="2">
        <f t="shared" si="31"/>
        <v>1.7718120805369129</v>
      </c>
      <c r="BT56" s="3">
        <v>168</v>
      </c>
      <c r="BU56" s="2">
        <f t="shared" si="32"/>
        <v>2.2550335570469797</v>
      </c>
      <c r="BV56" s="3">
        <v>174</v>
      </c>
      <c r="BW56" s="2">
        <f t="shared" si="14"/>
        <v>2.3355704697986579</v>
      </c>
      <c r="BX56" s="2">
        <f t="shared" si="15"/>
        <v>1.282442748091603</v>
      </c>
      <c r="BY56" s="2">
        <f t="shared" si="16"/>
        <v>1.0175438596491229</v>
      </c>
      <c r="BZ56" s="2">
        <v>8</v>
      </c>
      <c r="CA56" s="2">
        <v>7.5</v>
      </c>
      <c r="CB56" s="2">
        <v>2.5</v>
      </c>
      <c r="CC56" s="2">
        <v>10</v>
      </c>
      <c r="CD56" s="2">
        <v>6.5</v>
      </c>
      <c r="CE56" s="2">
        <v>8.5</v>
      </c>
      <c r="CF56" s="2">
        <v>8</v>
      </c>
      <c r="CG56" s="2">
        <v>7</v>
      </c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15" t="e">
        <f t="shared" si="19"/>
        <v>#DIV/0!</v>
      </c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</row>
    <row r="57" spans="1:129" ht="14.25" customHeight="1" thickBot="1">
      <c r="A57" s="34" t="s">
        <v>220</v>
      </c>
      <c r="B57" s="3">
        <v>52</v>
      </c>
      <c r="C57" s="3" t="s">
        <v>148</v>
      </c>
      <c r="D57" s="16" t="s">
        <v>150</v>
      </c>
      <c r="E57" s="3" t="s">
        <v>199</v>
      </c>
      <c r="F57" s="13">
        <v>39825</v>
      </c>
      <c r="G57" s="12" t="s">
        <v>215</v>
      </c>
      <c r="H57" s="18">
        <v>17</v>
      </c>
      <c r="I57" s="3">
        <v>80.8</v>
      </c>
      <c r="J57" s="3">
        <v>188</v>
      </c>
      <c r="K57" s="3">
        <f t="shared" si="0"/>
        <v>43</v>
      </c>
      <c r="L57" s="13">
        <v>46202</v>
      </c>
      <c r="M57" s="3" t="s">
        <v>147</v>
      </c>
      <c r="N57" s="3">
        <v>1357</v>
      </c>
      <c r="O57" s="3">
        <v>38.299999999999997</v>
      </c>
      <c r="P57" s="3">
        <v>41.1</v>
      </c>
      <c r="Q57" s="3">
        <v>15.7</v>
      </c>
      <c r="R57" s="3">
        <v>14.7</v>
      </c>
      <c r="S57" s="3">
        <v>9.9</v>
      </c>
      <c r="T57" s="3">
        <v>14.7</v>
      </c>
      <c r="U57" s="3">
        <v>26.3</v>
      </c>
      <c r="V57" s="3">
        <v>23.7</v>
      </c>
      <c r="W57" s="3">
        <v>22.9</v>
      </c>
      <c r="X57" s="3">
        <v>24</v>
      </c>
      <c r="Y57" s="2">
        <f t="shared" si="1"/>
        <v>50</v>
      </c>
      <c r="Z57" s="2">
        <f t="shared" si="2"/>
        <v>46.9</v>
      </c>
      <c r="AA57" s="2">
        <f t="shared" si="3"/>
        <v>1.0660980810234542</v>
      </c>
      <c r="AB57" s="3">
        <v>15</v>
      </c>
      <c r="AC57" s="3">
        <v>20</v>
      </c>
      <c r="AD57" s="3">
        <v>5</v>
      </c>
      <c r="AE57" s="3">
        <v>8</v>
      </c>
      <c r="AF57" s="3">
        <v>36.5</v>
      </c>
      <c r="AG57" s="2"/>
      <c r="AH57" s="2">
        <f t="shared" si="37"/>
        <v>0</v>
      </c>
      <c r="AI57" s="2"/>
      <c r="AJ57" s="2">
        <f t="shared" si="38"/>
        <v>0</v>
      </c>
      <c r="AK57" s="2"/>
      <c r="AL57" s="2"/>
      <c r="AM57" s="3">
        <v>37</v>
      </c>
      <c r="AN57" s="3">
        <v>2100</v>
      </c>
      <c r="AO57" s="3">
        <v>12231</v>
      </c>
      <c r="AP57" s="3">
        <v>2.67</v>
      </c>
      <c r="AQ57" s="2"/>
      <c r="AR57" s="2"/>
      <c r="AS57" s="2"/>
      <c r="AT57" s="2"/>
      <c r="AU57" s="3">
        <v>16.5</v>
      </c>
      <c r="AV57" s="2"/>
      <c r="AW57" s="48"/>
      <c r="AX57" s="48"/>
      <c r="AY57" s="48"/>
      <c r="AZ57" s="3">
        <v>7.07</v>
      </c>
      <c r="BA57" s="43">
        <v>9.5392680930000004</v>
      </c>
      <c r="BB57" s="2"/>
      <c r="BC57" s="2"/>
      <c r="BD57" s="3">
        <v>245</v>
      </c>
      <c r="BE57" s="2">
        <f t="shared" si="24"/>
        <v>3.0321782178217824</v>
      </c>
      <c r="BF57" s="3">
        <v>263</v>
      </c>
      <c r="BG57" s="2">
        <f t="shared" si="25"/>
        <v>3.254950495049505</v>
      </c>
      <c r="BH57" s="3">
        <v>200</v>
      </c>
      <c r="BI57" s="2">
        <f t="shared" si="26"/>
        <v>2.4752475247524752</v>
      </c>
      <c r="BJ57" s="3">
        <v>188</v>
      </c>
      <c r="BK57" s="2">
        <f t="shared" si="27"/>
        <v>2.326732673267327</v>
      </c>
      <c r="BL57" s="3">
        <v>129</v>
      </c>
      <c r="BM57" s="2">
        <f t="shared" si="28"/>
        <v>1.5965346534653466</v>
      </c>
      <c r="BN57" s="3">
        <v>168</v>
      </c>
      <c r="BO57" s="2">
        <f t="shared" si="29"/>
        <v>2.0792079207920793</v>
      </c>
      <c r="BP57" s="3">
        <v>113</v>
      </c>
      <c r="BQ57" s="2">
        <f t="shared" si="30"/>
        <v>1.3985148514851486</v>
      </c>
      <c r="BR57" s="3">
        <v>133</v>
      </c>
      <c r="BS57" s="2">
        <f t="shared" si="31"/>
        <v>1.6460396039603962</v>
      </c>
      <c r="BT57" s="3">
        <v>196</v>
      </c>
      <c r="BU57" s="2">
        <f t="shared" si="32"/>
        <v>2.4257425742574257</v>
      </c>
      <c r="BV57" s="3">
        <v>217.5</v>
      </c>
      <c r="BW57" s="2">
        <f t="shared" si="14"/>
        <v>2.6918316831683171</v>
      </c>
      <c r="BX57" s="2">
        <f t="shared" si="15"/>
        <v>0.98</v>
      </c>
      <c r="BY57" s="2">
        <f t="shared" si="16"/>
        <v>1.1569148936170213</v>
      </c>
      <c r="BZ57" s="2">
        <v>4</v>
      </c>
      <c r="CA57" s="2">
        <v>7.5</v>
      </c>
      <c r="CB57" s="2">
        <v>2.5</v>
      </c>
      <c r="CC57" s="2">
        <v>7</v>
      </c>
      <c r="CD57" s="2">
        <v>4.5</v>
      </c>
      <c r="CE57" s="2">
        <v>7</v>
      </c>
      <c r="CF57" s="2">
        <v>7</v>
      </c>
      <c r="CG57" s="2">
        <v>3.5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15" t="e">
        <f t="shared" si="19"/>
        <v>#DIV/0!</v>
      </c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</row>
    <row r="58" spans="1:129" ht="14.25" customHeight="1" thickBot="1">
      <c r="A58" s="34" t="s">
        <v>221</v>
      </c>
      <c r="B58" s="3">
        <v>53</v>
      </c>
      <c r="C58" s="3" t="s">
        <v>148</v>
      </c>
      <c r="D58" s="10" t="s">
        <v>159</v>
      </c>
      <c r="E58" s="3" t="s">
        <v>173</v>
      </c>
      <c r="F58" s="33">
        <v>39773</v>
      </c>
      <c r="G58" s="18" t="s">
        <v>215</v>
      </c>
      <c r="H58" s="12">
        <v>17</v>
      </c>
      <c r="I58" s="3">
        <v>67.099999999999994</v>
      </c>
      <c r="J58" s="3">
        <v>183</v>
      </c>
      <c r="K58" s="3">
        <f t="shared" si="0"/>
        <v>49</v>
      </c>
      <c r="L58" s="13">
        <v>46199</v>
      </c>
      <c r="M58" s="3" t="s">
        <v>147</v>
      </c>
      <c r="N58" s="3">
        <v>1182</v>
      </c>
      <c r="O58" s="3">
        <v>37.9</v>
      </c>
      <c r="P58" s="3">
        <v>38.700000000000003</v>
      </c>
      <c r="Q58" s="3">
        <v>8.6999999999999993</v>
      </c>
      <c r="R58" s="3">
        <v>7.2</v>
      </c>
      <c r="S58" s="3">
        <v>11.1</v>
      </c>
      <c r="T58" s="3">
        <v>8.1999999999999993</v>
      </c>
      <c r="U58" s="3">
        <v>26.1</v>
      </c>
      <c r="V58" s="3">
        <v>26.2</v>
      </c>
      <c r="W58" s="3">
        <v>28</v>
      </c>
      <c r="X58" s="3">
        <v>26.6</v>
      </c>
      <c r="Y58" s="2">
        <f t="shared" si="1"/>
        <v>52.3</v>
      </c>
      <c r="Z58" s="2">
        <f t="shared" si="2"/>
        <v>54.6</v>
      </c>
      <c r="AA58" s="2">
        <f t="shared" si="3"/>
        <v>0.9578754578754578</v>
      </c>
      <c r="AB58" s="3">
        <v>16</v>
      </c>
      <c r="AC58" s="3">
        <v>18</v>
      </c>
      <c r="AD58" s="3">
        <v>7</v>
      </c>
      <c r="AE58" s="3">
        <v>7</v>
      </c>
      <c r="AF58" s="3">
        <v>19</v>
      </c>
      <c r="AG58" s="2"/>
      <c r="AH58" s="2">
        <f t="shared" si="37"/>
        <v>0</v>
      </c>
      <c r="AI58" s="2"/>
      <c r="AJ58" s="2">
        <f t="shared" si="38"/>
        <v>0</v>
      </c>
      <c r="AK58" s="2"/>
      <c r="AL58" s="2"/>
      <c r="AM58" s="3">
        <v>36.9</v>
      </c>
      <c r="AN58" s="3">
        <v>1788</v>
      </c>
      <c r="AO58" s="3">
        <v>11741</v>
      </c>
      <c r="AP58" s="3">
        <v>2.4700000000000002</v>
      </c>
      <c r="AQ58" s="3">
        <v>3092</v>
      </c>
      <c r="AR58" s="2"/>
      <c r="AS58" s="2"/>
      <c r="AT58" s="2"/>
      <c r="AU58" s="3">
        <v>17</v>
      </c>
      <c r="AV58" s="2"/>
      <c r="AW58" s="50">
        <v>12521</v>
      </c>
      <c r="AX58" s="50">
        <v>996</v>
      </c>
      <c r="AY58" s="50">
        <v>83.8</v>
      </c>
      <c r="AZ58" s="3">
        <v>7.12</v>
      </c>
      <c r="BA58" s="43">
        <v>9.0122164480000002</v>
      </c>
      <c r="BB58" s="2"/>
      <c r="BC58" s="2"/>
      <c r="BD58" s="2"/>
      <c r="BE58" s="2">
        <f t="shared" si="24"/>
        <v>0</v>
      </c>
      <c r="BF58" s="2"/>
      <c r="BG58" s="2">
        <f t="shared" si="25"/>
        <v>0</v>
      </c>
      <c r="BH58" s="2"/>
      <c r="BI58" s="2">
        <f t="shared" si="26"/>
        <v>0</v>
      </c>
      <c r="BJ58" s="2"/>
      <c r="BK58" s="2">
        <f t="shared" si="27"/>
        <v>0</v>
      </c>
      <c r="BL58" s="2"/>
      <c r="BM58" s="2">
        <f t="shared" si="28"/>
        <v>0</v>
      </c>
      <c r="BN58" s="2"/>
      <c r="BO58" s="2">
        <f t="shared" si="29"/>
        <v>0</v>
      </c>
      <c r="BP58" s="2"/>
      <c r="BQ58" s="2">
        <f t="shared" si="30"/>
        <v>0</v>
      </c>
      <c r="BR58" s="2"/>
      <c r="BS58" s="2">
        <f t="shared" si="31"/>
        <v>0</v>
      </c>
      <c r="BT58" s="2"/>
      <c r="BU58" s="2">
        <f t="shared" si="32"/>
        <v>0</v>
      </c>
      <c r="BV58" s="2"/>
      <c r="BW58" s="2">
        <f t="shared" si="14"/>
        <v>0</v>
      </c>
      <c r="BX58" s="2" t="e">
        <f t="shared" si="15"/>
        <v>#DIV/0!</v>
      </c>
      <c r="BY58" s="2" t="e">
        <f t="shared" si="16"/>
        <v>#DIV/0!</v>
      </c>
      <c r="BZ58" s="2">
        <v>3.5</v>
      </c>
      <c r="CA58" s="2">
        <v>5.5</v>
      </c>
      <c r="CB58" s="2">
        <v>2.5</v>
      </c>
      <c r="CC58" s="2">
        <v>8.5</v>
      </c>
      <c r="CD58" s="2">
        <v>5.5</v>
      </c>
      <c r="CE58" s="2">
        <v>9</v>
      </c>
      <c r="CF58" s="2">
        <v>8</v>
      </c>
      <c r="CG58" s="2">
        <v>6.5</v>
      </c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15" t="e">
        <f t="shared" si="19"/>
        <v>#DIV/0!</v>
      </c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</row>
    <row r="59" spans="1:129" ht="14.25" customHeight="1" thickBot="1">
      <c r="A59" s="34" t="s">
        <v>222</v>
      </c>
      <c r="B59" s="3">
        <v>55</v>
      </c>
      <c r="C59" s="3" t="s">
        <v>148</v>
      </c>
      <c r="D59" s="10" t="s">
        <v>159</v>
      </c>
      <c r="E59" s="3" t="s">
        <v>164</v>
      </c>
      <c r="F59" s="13">
        <v>40849</v>
      </c>
      <c r="G59" s="12" t="s">
        <v>215</v>
      </c>
      <c r="H59" s="18">
        <v>14</v>
      </c>
      <c r="I59" s="3">
        <v>66</v>
      </c>
      <c r="J59" s="3">
        <v>173</v>
      </c>
      <c r="K59" s="3">
        <f t="shared" si="0"/>
        <v>47.5</v>
      </c>
      <c r="L59" s="13">
        <v>46199</v>
      </c>
      <c r="M59" s="3" t="s">
        <v>147</v>
      </c>
      <c r="N59" s="3">
        <v>1014</v>
      </c>
      <c r="O59" s="3">
        <v>30.4</v>
      </c>
      <c r="P59" s="3">
        <v>27.7</v>
      </c>
      <c r="Q59" s="3">
        <v>5.8</v>
      </c>
      <c r="R59" s="3">
        <v>7</v>
      </c>
      <c r="S59" s="3">
        <v>10.8</v>
      </c>
      <c r="T59" s="3">
        <v>9.1999999999999993</v>
      </c>
      <c r="U59" s="3">
        <v>19.100000000000001</v>
      </c>
      <c r="V59" s="3">
        <v>16.899999999999999</v>
      </c>
      <c r="W59" s="3">
        <v>13</v>
      </c>
      <c r="X59" s="3">
        <v>15</v>
      </c>
      <c r="Y59" s="2">
        <f t="shared" si="1"/>
        <v>36</v>
      </c>
      <c r="Z59" s="2">
        <f t="shared" si="2"/>
        <v>28</v>
      </c>
      <c r="AA59" s="2">
        <f t="shared" si="3"/>
        <v>1.2857142857142858</v>
      </c>
      <c r="AB59" s="3">
        <v>12</v>
      </c>
      <c r="AC59" s="3">
        <v>15</v>
      </c>
      <c r="AD59" s="3">
        <v>14</v>
      </c>
      <c r="AE59" s="3">
        <v>14</v>
      </c>
      <c r="AF59" s="3">
        <v>12.5</v>
      </c>
      <c r="AG59" s="2"/>
      <c r="AH59" s="2">
        <f t="shared" si="37"/>
        <v>0</v>
      </c>
      <c r="AI59" s="2"/>
      <c r="AJ59" s="2">
        <f t="shared" si="38"/>
        <v>0</v>
      </c>
      <c r="AK59" s="2"/>
      <c r="AL59" s="2"/>
      <c r="AM59" s="3">
        <v>40.700000000000003</v>
      </c>
      <c r="AN59" s="3">
        <v>1762</v>
      </c>
      <c r="AO59" s="3">
        <v>8461</v>
      </c>
      <c r="AP59" s="3">
        <v>2.78</v>
      </c>
      <c r="AQ59" s="2"/>
      <c r="AR59" s="2"/>
      <c r="AS59" s="2"/>
      <c r="AT59" s="2"/>
      <c r="AU59" s="2"/>
      <c r="AV59" s="2"/>
      <c r="AW59" s="48"/>
      <c r="AX59" s="48"/>
      <c r="AY59" s="48"/>
      <c r="AZ59" s="3">
        <v>7.35</v>
      </c>
      <c r="BA59" s="43">
        <v>8.8324712759999997</v>
      </c>
      <c r="BB59" s="2"/>
      <c r="BC59" s="2"/>
      <c r="BD59" s="3">
        <v>230</v>
      </c>
      <c r="BE59" s="2">
        <f t="shared" si="24"/>
        <v>3.4848484848484849</v>
      </c>
      <c r="BF59" s="3">
        <v>193</v>
      </c>
      <c r="BG59" s="2">
        <f t="shared" si="25"/>
        <v>2.9242424242424243</v>
      </c>
      <c r="BH59" s="3">
        <v>174</v>
      </c>
      <c r="BI59" s="2">
        <f t="shared" si="26"/>
        <v>2.6363636363636362</v>
      </c>
      <c r="BJ59" s="3">
        <v>132</v>
      </c>
      <c r="BK59" s="2">
        <f t="shared" si="27"/>
        <v>2</v>
      </c>
      <c r="BL59" s="3">
        <v>118</v>
      </c>
      <c r="BM59" s="2">
        <f t="shared" si="28"/>
        <v>1.7878787878787878</v>
      </c>
      <c r="BN59" s="3">
        <v>118</v>
      </c>
      <c r="BO59" s="2">
        <f t="shared" si="29"/>
        <v>1.7878787878787878</v>
      </c>
      <c r="BP59" s="3">
        <v>84</v>
      </c>
      <c r="BQ59" s="2">
        <f t="shared" si="30"/>
        <v>1.2727272727272727</v>
      </c>
      <c r="BR59" s="3">
        <v>92</v>
      </c>
      <c r="BS59" s="2">
        <f t="shared" si="31"/>
        <v>1.393939393939394</v>
      </c>
      <c r="BT59" s="3">
        <v>168</v>
      </c>
      <c r="BU59" s="2">
        <f t="shared" si="32"/>
        <v>2.5454545454545454</v>
      </c>
      <c r="BV59" s="3">
        <v>133</v>
      </c>
      <c r="BW59" s="2">
        <f t="shared" si="14"/>
        <v>2.0151515151515151</v>
      </c>
      <c r="BX59" s="2">
        <f t="shared" si="15"/>
        <v>0.96551724137931039</v>
      </c>
      <c r="BY59" s="2">
        <f t="shared" si="16"/>
        <v>1.0075757575757576</v>
      </c>
      <c r="BZ59" s="2">
        <v>5.5</v>
      </c>
      <c r="CA59" s="2">
        <v>7</v>
      </c>
      <c r="CB59" s="2">
        <v>2.5</v>
      </c>
      <c r="CC59" s="2">
        <v>10</v>
      </c>
      <c r="CD59" s="2">
        <v>5</v>
      </c>
      <c r="CE59" s="2">
        <v>7.5</v>
      </c>
      <c r="CF59" s="2">
        <v>5.5</v>
      </c>
      <c r="CG59" s="2">
        <v>4.5</v>
      </c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15" t="e">
        <f t="shared" si="19"/>
        <v>#DIV/0!</v>
      </c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</row>
    <row r="60" spans="1:129" ht="14.25" customHeight="1" thickBot="1">
      <c r="A60" s="34" t="s">
        <v>223</v>
      </c>
      <c r="B60" s="3">
        <v>70</v>
      </c>
      <c r="C60" s="3" t="s">
        <v>148</v>
      </c>
      <c r="D60" s="16" t="s">
        <v>167</v>
      </c>
      <c r="E60" s="3" t="s">
        <v>168</v>
      </c>
      <c r="F60" s="13">
        <v>38239</v>
      </c>
      <c r="G60" s="18" t="s">
        <v>190</v>
      </c>
      <c r="H60" s="12">
        <v>21</v>
      </c>
      <c r="I60" s="3">
        <v>85.4</v>
      </c>
      <c r="J60" s="3">
        <v>187</v>
      </c>
      <c r="K60" s="3">
        <f t="shared" si="0"/>
        <v>0</v>
      </c>
      <c r="L60" s="13">
        <v>46199</v>
      </c>
      <c r="M60" s="3" t="s">
        <v>147</v>
      </c>
      <c r="N60" s="3">
        <v>1319</v>
      </c>
      <c r="O60" s="3">
        <v>45.1</v>
      </c>
      <c r="P60" s="3">
        <v>41.5</v>
      </c>
      <c r="Q60" s="3">
        <v>9</v>
      </c>
      <c r="R60" s="3">
        <v>8.6999999999999993</v>
      </c>
      <c r="S60" s="3">
        <v>8.4</v>
      </c>
      <c r="T60" s="3">
        <v>9.8000000000000007</v>
      </c>
      <c r="U60" s="3">
        <v>28.8</v>
      </c>
      <c r="V60" s="3">
        <v>30.3</v>
      </c>
      <c r="W60" s="3">
        <v>34.4</v>
      </c>
      <c r="X60" s="3">
        <v>31.1</v>
      </c>
      <c r="Y60" s="2">
        <f t="shared" si="1"/>
        <v>59.1</v>
      </c>
      <c r="Z60" s="2">
        <f t="shared" si="2"/>
        <v>65.5</v>
      </c>
      <c r="AA60" s="2">
        <f t="shared" si="3"/>
        <v>0.90229007633587788</v>
      </c>
      <c r="AB60" s="3">
        <v>18</v>
      </c>
      <c r="AC60" s="3">
        <v>20</v>
      </c>
      <c r="AD60" s="3">
        <v>13</v>
      </c>
      <c r="AE60" s="3">
        <v>12</v>
      </c>
      <c r="AF60" s="3">
        <v>42.5</v>
      </c>
      <c r="AG60" s="2"/>
      <c r="AH60" s="2">
        <f t="shared" si="37"/>
        <v>0</v>
      </c>
      <c r="AI60" s="2"/>
      <c r="AJ60" s="2">
        <f t="shared" si="38"/>
        <v>0</v>
      </c>
      <c r="AK60" s="2"/>
      <c r="AL60" s="2"/>
      <c r="AM60" s="3">
        <v>48.3</v>
      </c>
      <c r="AN60" s="3">
        <v>2448</v>
      </c>
      <c r="AO60" s="3">
        <v>15927</v>
      </c>
      <c r="AP60" s="3">
        <v>1.83</v>
      </c>
      <c r="AQ60" s="2"/>
      <c r="AR60" s="2"/>
      <c r="AS60" s="2"/>
      <c r="AT60" s="2"/>
      <c r="AU60" s="3">
        <v>15.5</v>
      </c>
      <c r="AV60" s="2"/>
      <c r="AW60" s="49"/>
      <c r="AX60" s="49"/>
      <c r="AY60" s="49"/>
      <c r="AZ60" s="3">
        <v>6.7</v>
      </c>
      <c r="BA60" s="43">
        <v>6.9675487370000004</v>
      </c>
      <c r="BB60" s="2"/>
      <c r="BC60" s="2"/>
      <c r="BD60" s="3">
        <v>333</v>
      </c>
      <c r="BE60" s="2">
        <f t="shared" si="24"/>
        <v>3.8992974238875875</v>
      </c>
      <c r="BF60" s="3">
        <v>312</v>
      </c>
      <c r="BG60" s="2">
        <f t="shared" si="25"/>
        <v>3.6533957845433251</v>
      </c>
      <c r="BH60" s="3">
        <v>219</v>
      </c>
      <c r="BI60" s="2">
        <f t="shared" si="26"/>
        <v>2.5644028103044496</v>
      </c>
      <c r="BJ60" s="3">
        <v>204</v>
      </c>
      <c r="BK60" s="2">
        <f t="shared" si="27"/>
        <v>2.3887587822014051</v>
      </c>
      <c r="BL60" s="3">
        <v>165</v>
      </c>
      <c r="BM60" s="2">
        <f t="shared" si="28"/>
        <v>1.9320843091334894</v>
      </c>
      <c r="BN60" s="3">
        <v>169</v>
      </c>
      <c r="BO60" s="2">
        <f t="shared" si="29"/>
        <v>1.9789227166276346</v>
      </c>
      <c r="BP60" s="3">
        <v>164</v>
      </c>
      <c r="BQ60" s="2">
        <f t="shared" si="30"/>
        <v>1.9203747072599531</v>
      </c>
      <c r="BR60" s="3">
        <v>155</v>
      </c>
      <c r="BS60" s="2">
        <f t="shared" si="31"/>
        <v>1.8149882903981263</v>
      </c>
      <c r="BT60" s="3">
        <v>224</v>
      </c>
      <c r="BU60" s="2">
        <f t="shared" si="32"/>
        <v>2.622950819672131</v>
      </c>
      <c r="BV60" s="3">
        <v>212</v>
      </c>
      <c r="BW60" s="2">
        <f t="shared" si="14"/>
        <v>2.4824355971896952</v>
      </c>
      <c r="BX60" s="2">
        <f t="shared" si="15"/>
        <v>1.0228310502283104</v>
      </c>
      <c r="BY60" s="2">
        <f t="shared" si="16"/>
        <v>1.0392156862745099</v>
      </c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15" t="e">
        <f t="shared" si="19"/>
        <v>#DIV/0!</v>
      </c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</row>
    <row r="61" spans="1:129" ht="14.25" customHeight="1" thickBot="1">
      <c r="A61" s="34" t="s">
        <v>224</v>
      </c>
      <c r="B61" s="3">
        <v>59</v>
      </c>
      <c r="C61" s="3" t="s">
        <v>148</v>
      </c>
      <c r="D61" s="10" t="s">
        <v>159</v>
      </c>
      <c r="E61" s="3" t="s">
        <v>173</v>
      </c>
      <c r="F61" s="13">
        <v>38810</v>
      </c>
      <c r="G61" s="12" t="s">
        <v>215</v>
      </c>
      <c r="H61" s="20">
        <v>20</v>
      </c>
      <c r="I61" s="3">
        <v>72.5</v>
      </c>
      <c r="J61" s="2"/>
      <c r="K61" s="3">
        <f t="shared" si="0"/>
        <v>48</v>
      </c>
      <c r="L61" s="13">
        <v>46199</v>
      </c>
      <c r="M61" s="3" t="s">
        <v>147</v>
      </c>
      <c r="N61" s="2"/>
      <c r="O61" s="3">
        <v>40.700000000000003</v>
      </c>
      <c r="P61" s="3">
        <v>37.799999999999997</v>
      </c>
      <c r="Q61" s="3">
        <v>8.1999999999999993</v>
      </c>
      <c r="R61" s="3">
        <v>11.6</v>
      </c>
      <c r="S61" s="3">
        <v>9.1</v>
      </c>
      <c r="T61" s="3">
        <v>11.1</v>
      </c>
      <c r="U61" s="3">
        <v>17.2</v>
      </c>
      <c r="V61" s="3">
        <v>16</v>
      </c>
      <c r="W61" s="3">
        <v>22.2</v>
      </c>
      <c r="X61" s="3">
        <v>23.2</v>
      </c>
      <c r="Y61" s="2">
        <f t="shared" si="1"/>
        <v>33.200000000000003</v>
      </c>
      <c r="Z61" s="2">
        <f t="shared" si="2"/>
        <v>45.4</v>
      </c>
      <c r="AA61" s="2">
        <f t="shared" si="3"/>
        <v>0.73127753303964771</v>
      </c>
      <c r="AB61" s="3">
        <v>18</v>
      </c>
      <c r="AC61" s="3">
        <v>16</v>
      </c>
      <c r="AD61" s="3">
        <v>14</v>
      </c>
      <c r="AE61" s="3">
        <v>12</v>
      </c>
      <c r="AF61" s="3">
        <v>37</v>
      </c>
      <c r="AG61" s="2"/>
      <c r="AH61" s="2">
        <f t="shared" si="37"/>
        <v>0</v>
      </c>
      <c r="AI61" s="2"/>
      <c r="AJ61" s="2">
        <f t="shared" si="38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48"/>
      <c r="AX61" s="48"/>
      <c r="AY61" s="48"/>
      <c r="AZ61" s="3">
        <v>6.45</v>
      </c>
      <c r="BA61" s="43">
        <v>7.9952784809999997</v>
      </c>
      <c r="BB61" s="2"/>
      <c r="BC61" s="2"/>
      <c r="BD61" s="3">
        <v>251</v>
      </c>
      <c r="BE61" s="2">
        <f t="shared" si="24"/>
        <v>3.4620689655172412</v>
      </c>
      <c r="BF61" s="3">
        <v>262.10000000000002</v>
      </c>
      <c r="BG61" s="2">
        <f t="shared" si="25"/>
        <v>3.6151724137931036</v>
      </c>
      <c r="BH61" s="3">
        <v>166</v>
      </c>
      <c r="BI61" s="2">
        <f t="shared" si="26"/>
        <v>2.2896551724137932</v>
      </c>
      <c r="BJ61" s="3">
        <v>200</v>
      </c>
      <c r="BK61" s="2">
        <f t="shared" si="27"/>
        <v>2.7586206896551726</v>
      </c>
      <c r="BL61" s="3">
        <v>146</v>
      </c>
      <c r="BM61" s="2">
        <f t="shared" si="28"/>
        <v>2.0137931034482759</v>
      </c>
      <c r="BN61" s="3">
        <v>151</v>
      </c>
      <c r="BO61" s="2">
        <f t="shared" si="29"/>
        <v>2.0827586206896553</v>
      </c>
      <c r="BP61" s="3">
        <v>174</v>
      </c>
      <c r="BQ61" s="2">
        <f t="shared" si="30"/>
        <v>2.4</v>
      </c>
      <c r="BR61" s="3">
        <v>129.5</v>
      </c>
      <c r="BS61" s="2">
        <f t="shared" si="31"/>
        <v>1.7862068965517242</v>
      </c>
      <c r="BT61" s="3">
        <v>190</v>
      </c>
      <c r="BU61" s="2">
        <f t="shared" si="32"/>
        <v>2.6206896551724137</v>
      </c>
      <c r="BV61" s="3">
        <v>202</v>
      </c>
      <c r="BW61" s="2">
        <f t="shared" si="14"/>
        <v>2.7862068965517239</v>
      </c>
      <c r="BX61" s="2">
        <f t="shared" si="15"/>
        <v>1.1445783132530121</v>
      </c>
      <c r="BY61" s="2">
        <f t="shared" si="16"/>
        <v>1.01</v>
      </c>
      <c r="BZ61" s="2">
        <v>5.5</v>
      </c>
      <c r="CA61" s="2">
        <v>8</v>
      </c>
      <c r="CB61" s="2">
        <v>2</v>
      </c>
      <c r="CC61" s="2">
        <v>10.5</v>
      </c>
      <c r="CD61" s="2">
        <v>3.5</v>
      </c>
      <c r="CE61" s="2">
        <v>6.5</v>
      </c>
      <c r="CF61" s="2">
        <v>7.5</v>
      </c>
      <c r="CG61" s="2">
        <v>4.5</v>
      </c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15" t="e">
        <f t="shared" si="19"/>
        <v>#DIV/0!</v>
      </c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</row>
    <row r="62" spans="1:129" ht="14.25" customHeight="1" thickBot="1">
      <c r="A62" s="34" t="s">
        <v>225</v>
      </c>
      <c r="B62" s="3">
        <v>54</v>
      </c>
      <c r="C62" s="3" t="s">
        <v>148</v>
      </c>
      <c r="D62" s="10" t="s">
        <v>159</v>
      </c>
      <c r="E62" s="3" t="s">
        <v>173</v>
      </c>
      <c r="F62" s="13">
        <v>39825</v>
      </c>
      <c r="G62" s="18" t="s">
        <v>215</v>
      </c>
      <c r="H62" s="12">
        <v>17</v>
      </c>
      <c r="I62" s="3">
        <v>68.599999999999994</v>
      </c>
      <c r="J62" s="3">
        <v>178</v>
      </c>
      <c r="K62" s="3">
        <f t="shared" si="0"/>
        <v>49</v>
      </c>
      <c r="L62" s="13">
        <v>46199</v>
      </c>
      <c r="M62" s="3" t="s">
        <v>147</v>
      </c>
      <c r="N62" s="3">
        <v>1168</v>
      </c>
      <c r="O62" s="3">
        <v>31.7</v>
      </c>
      <c r="P62" s="3">
        <v>32.799999999999997</v>
      </c>
      <c r="Q62" s="3">
        <v>8.4</v>
      </c>
      <c r="R62" s="3">
        <v>9.6</v>
      </c>
      <c r="S62" s="3">
        <v>11.5</v>
      </c>
      <c r="T62" s="3">
        <v>7.7</v>
      </c>
      <c r="U62" s="3">
        <v>23.8</v>
      </c>
      <c r="V62" s="3">
        <v>24.2</v>
      </c>
      <c r="W62" s="3">
        <v>19.899999999999999</v>
      </c>
      <c r="X62" s="3">
        <v>20.7</v>
      </c>
      <c r="Y62" s="2">
        <f t="shared" si="1"/>
        <v>48</v>
      </c>
      <c r="Z62" s="2">
        <f t="shared" si="2"/>
        <v>40.599999999999994</v>
      </c>
      <c r="AA62" s="2">
        <f t="shared" si="3"/>
        <v>1.1822660098522169</v>
      </c>
      <c r="AB62" s="3">
        <v>20</v>
      </c>
      <c r="AC62" s="3">
        <v>22</v>
      </c>
      <c r="AD62" s="3">
        <v>10</v>
      </c>
      <c r="AE62" s="3">
        <v>11</v>
      </c>
      <c r="AF62" s="3">
        <v>29</v>
      </c>
      <c r="AG62" s="2"/>
      <c r="AH62" s="2">
        <f t="shared" si="37"/>
        <v>0</v>
      </c>
      <c r="AI62" s="2"/>
      <c r="AJ62" s="2">
        <f t="shared" si="38"/>
        <v>0</v>
      </c>
      <c r="AK62" s="2"/>
      <c r="AL62" s="2"/>
      <c r="AM62" s="3">
        <v>35.1</v>
      </c>
      <c r="AN62" s="3">
        <v>1657</v>
      </c>
      <c r="AO62" s="3">
        <v>12351</v>
      </c>
      <c r="AP62" s="3">
        <v>2.13</v>
      </c>
      <c r="AQ62" s="2"/>
      <c r="AR62" s="2"/>
      <c r="AS62" s="2"/>
      <c r="AT62" s="2"/>
      <c r="AU62" s="3">
        <v>18</v>
      </c>
      <c r="AV62" s="2"/>
      <c r="AW62" s="49"/>
      <c r="AX62" s="49"/>
      <c r="AY62" s="49"/>
      <c r="AZ62" s="3">
        <v>6.85</v>
      </c>
      <c r="BA62" s="43">
        <v>9.0356595859999995</v>
      </c>
      <c r="BB62" s="2"/>
      <c r="BC62" s="2"/>
      <c r="BD62" s="3">
        <v>219</v>
      </c>
      <c r="BE62" s="2">
        <f t="shared" si="24"/>
        <v>3.1924198250728866</v>
      </c>
      <c r="BF62" s="3">
        <v>258</v>
      </c>
      <c r="BG62" s="2">
        <f t="shared" si="25"/>
        <v>3.7609329446064144</v>
      </c>
      <c r="BH62" s="3">
        <v>159</v>
      </c>
      <c r="BI62" s="2">
        <f t="shared" si="26"/>
        <v>2.3177842565597668</v>
      </c>
      <c r="BJ62" s="3">
        <v>171</v>
      </c>
      <c r="BK62" s="2">
        <f t="shared" si="27"/>
        <v>2.4927113702623909</v>
      </c>
      <c r="BL62" s="3">
        <v>133</v>
      </c>
      <c r="BM62" s="2">
        <f t="shared" si="28"/>
        <v>1.9387755102040818</v>
      </c>
      <c r="BN62" s="3">
        <v>142</v>
      </c>
      <c r="BO62" s="2">
        <f t="shared" si="29"/>
        <v>2.0699708454810497</v>
      </c>
      <c r="BP62" s="3">
        <v>95</v>
      </c>
      <c r="BQ62" s="2">
        <f t="shared" si="30"/>
        <v>1.3848396501457727</v>
      </c>
      <c r="BR62" s="3">
        <v>144</v>
      </c>
      <c r="BS62" s="2">
        <f t="shared" si="31"/>
        <v>2.0991253644314871</v>
      </c>
      <c r="BT62" s="3">
        <v>152</v>
      </c>
      <c r="BU62" s="2">
        <f t="shared" si="32"/>
        <v>2.2157434402332363</v>
      </c>
      <c r="BV62" s="3">
        <v>165</v>
      </c>
      <c r="BW62" s="2">
        <f t="shared" si="14"/>
        <v>2.4052478134110791</v>
      </c>
      <c r="BX62" s="2">
        <f t="shared" si="15"/>
        <v>0.95597484276729561</v>
      </c>
      <c r="BY62" s="2">
        <f t="shared" si="16"/>
        <v>0.96491228070175439</v>
      </c>
      <c r="BZ62" s="2">
        <v>4.5</v>
      </c>
      <c r="CA62" s="2">
        <v>6.5</v>
      </c>
      <c r="CB62" s="2">
        <v>1.5</v>
      </c>
      <c r="CC62" s="2">
        <v>7.5</v>
      </c>
      <c r="CD62" s="2">
        <v>5.5</v>
      </c>
      <c r="CE62" s="2">
        <v>7</v>
      </c>
      <c r="CF62" s="2">
        <v>11</v>
      </c>
      <c r="CG62" s="2">
        <v>5.5</v>
      </c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15" t="e">
        <f t="shared" si="19"/>
        <v>#DIV/0!</v>
      </c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</row>
    <row r="63" spans="1:129" ht="14.25" customHeight="1" thickBot="1">
      <c r="A63" s="34" t="s">
        <v>226</v>
      </c>
      <c r="B63" s="3">
        <v>43</v>
      </c>
      <c r="C63" s="3" t="s">
        <v>148</v>
      </c>
      <c r="D63" s="16" t="s">
        <v>144</v>
      </c>
      <c r="E63" s="3" t="s">
        <v>171</v>
      </c>
      <c r="F63" s="13">
        <v>39645</v>
      </c>
      <c r="G63" s="12" t="s">
        <v>215</v>
      </c>
      <c r="H63" s="18">
        <v>18</v>
      </c>
      <c r="I63" s="3">
        <v>86.4</v>
      </c>
      <c r="J63" s="3">
        <v>188.5</v>
      </c>
      <c r="K63" s="3">
        <f t="shared" si="0"/>
        <v>47.5</v>
      </c>
      <c r="L63" s="13">
        <v>46199</v>
      </c>
      <c r="M63" s="3" t="s">
        <v>147</v>
      </c>
      <c r="N63" s="3">
        <v>1430</v>
      </c>
      <c r="O63" s="3">
        <v>23.8</v>
      </c>
      <c r="P63" s="3">
        <v>28.7</v>
      </c>
      <c r="Q63" s="3">
        <v>8.1999999999999993</v>
      </c>
      <c r="R63" s="3">
        <v>8.1999999999999993</v>
      </c>
      <c r="S63" s="3">
        <v>11.2</v>
      </c>
      <c r="T63" s="3">
        <v>9.4</v>
      </c>
      <c r="U63" s="3">
        <v>26.6</v>
      </c>
      <c r="V63" s="3">
        <v>26.7</v>
      </c>
      <c r="W63" s="3">
        <v>23.2</v>
      </c>
      <c r="X63" s="3">
        <v>23.2</v>
      </c>
      <c r="Y63" s="2">
        <f t="shared" si="1"/>
        <v>53.3</v>
      </c>
      <c r="Z63" s="2">
        <f t="shared" si="2"/>
        <v>46.4</v>
      </c>
      <c r="AA63" s="2">
        <f t="shared" si="3"/>
        <v>1.1487068965517242</v>
      </c>
      <c r="AB63" s="3">
        <v>21</v>
      </c>
      <c r="AC63" s="3">
        <v>20</v>
      </c>
      <c r="AD63" s="3">
        <v>14.5</v>
      </c>
      <c r="AE63" s="3">
        <v>14.5</v>
      </c>
      <c r="AF63" s="3">
        <v>35.5</v>
      </c>
      <c r="AG63" s="2"/>
      <c r="AH63" s="2">
        <f t="shared" si="37"/>
        <v>0</v>
      </c>
      <c r="AI63" s="2"/>
      <c r="AJ63" s="2">
        <f t="shared" si="38"/>
        <v>0</v>
      </c>
      <c r="AK63" s="2"/>
      <c r="AL63" s="2"/>
      <c r="AM63" s="3">
        <v>41.5</v>
      </c>
      <c r="AN63" s="3">
        <v>1959</v>
      </c>
      <c r="AO63" s="3">
        <v>10902</v>
      </c>
      <c r="AP63" s="3">
        <v>2.4500000000000002</v>
      </c>
      <c r="AQ63" s="2"/>
      <c r="AR63" s="2"/>
      <c r="AS63" s="2"/>
      <c r="AT63" s="2"/>
      <c r="AU63" s="3">
        <v>15</v>
      </c>
      <c r="AV63" s="2"/>
      <c r="AW63" s="48"/>
      <c r="AX63" s="48"/>
      <c r="AY63" s="48"/>
      <c r="AZ63" s="3">
        <v>6.95</v>
      </c>
      <c r="BA63" s="43">
        <v>9.4934898800000003</v>
      </c>
      <c r="BB63" s="2"/>
      <c r="BC63" s="2"/>
      <c r="BD63" s="3">
        <v>288</v>
      </c>
      <c r="BE63" s="2">
        <f t="shared" si="24"/>
        <v>3.333333333333333</v>
      </c>
      <c r="BF63" s="3">
        <v>297</v>
      </c>
      <c r="BG63" s="2">
        <f t="shared" si="25"/>
        <v>3.4374999999999996</v>
      </c>
      <c r="BH63" s="3">
        <v>189</v>
      </c>
      <c r="BI63" s="2">
        <f t="shared" si="26"/>
        <v>2.1875</v>
      </c>
      <c r="BJ63" s="3">
        <v>216</v>
      </c>
      <c r="BK63" s="2">
        <f t="shared" si="27"/>
        <v>2.5</v>
      </c>
      <c r="BL63" s="3">
        <v>145</v>
      </c>
      <c r="BM63" s="2">
        <f t="shared" si="28"/>
        <v>1.6782407407407407</v>
      </c>
      <c r="BN63" s="3">
        <v>149</v>
      </c>
      <c r="BO63" s="2">
        <f t="shared" si="29"/>
        <v>1.724537037037037</v>
      </c>
      <c r="BP63" s="3">
        <v>119.4</v>
      </c>
      <c r="BQ63" s="2">
        <f t="shared" si="30"/>
        <v>1.3819444444444444</v>
      </c>
      <c r="BR63" s="3">
        <v>145.6</v>
      </c>
      <c r="BS63" s="2">
        <f t="shared" si="31"/>
        <v>1.6851851851851851</v>
      </c>
      <c r="BT63" s="3">
        <v>169</v>
      </c>
      <c r="BU63" s="2">
        <f t="shared" si="32"/>
        <v>1.9560185185185184</v>
      </c>
      <c r="BV63" s="3">
        <v>220</v>
      </c>
      <c r="BW63" s="2">
        <f t="shared" si="14"/>
        <v>2.5462962962962963</v>
      </c>
      <c r="BX63" s="2">
        <f t="shared" si="15"/>
        <v>0.89417989417989419</v>
      </c>
      <c r="BY63" s="2">
        <f t="shared" si="16"/>
        <v>1.0185185185185186</v>
      </c>
      <c r="BZ63" s="2">
        <v>4.5</v>
      </c>
      <c r="CA63" s="2">
        <v>7.5</v>
      </c>
      <c r="CB63" s="2">
        <v>2.5</v>
      </c>
      <c r="CC63" s="2">
        <v>7</v>
      </c>
      <c r="CD63" s="2">
        <v>7</v>
      </c>
      <c r="CE63" s="2">
        <v>9</v>
      </c>
      <c r="CF63" s="2">
        <v>6.5</v>
      </c>
      <c r="CG63" s="2">
        <v>3.5</v>
      </c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15" t="e">
        <f t="shared" si="19"/>
        <v>#DIV/0!</v>
      </c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</row>
    <row r="64" spans="1:129" ht="14.25" customHeight="1" thickBot="1">
      <c r="A64" s="34" t="s">
        <v>227</v>
      </c>
      <c r="B64" s="3">
        <v>41</v>
      </c>
      <c r="C64" s="3" t="s">
        <v>143</v>
      </c>
      <c r="D64" s="16" t="s">
        <v>144</v>
      </c>
      <c r="E64" s="3" t="s">
        <v>145</v>
      </c>
      <c r="F64" s="13">
        <v>39660</v>
      </c>
      <c r="G64" s="18" t="s">
        <v>215</v>
      </c>
      <c r="H64" s="12">
        <v>18</v>
      </c>
      <c r="I64" s="3">
        <v>69.400000000000006</v>
      </c>
      <c r="J64" s="3">
        <v>176</v>
      </c>
      <c r="K64" s="3">
        <f t="shared" si="0"/>
        <v>47</v>
      </c>
      <c r="L64" s="13">
        <v>46199</v>
      </c>
      <c r="M64" s="3" t="s">
        <v>147</v>
      </c>
      <c r="N64" s="3">
        <v>957</v>
      </c>
      <c r="O64" s="3">
        <v>29.7</v>
      </c>
      <c r="P64" s="3">
        <v>33.1</v>
      </c>
      <c r="Q64" s="3">
        <v>9.4</v>
      </c>
      <c r="R64" s="3">
        <v>7.3</v>
      </c>
      <c r="S64" s="3">
        <v>9.4</v>
      </c>
      <c r="T64" s="3">
        <v>10.1</v>
      </c>
      <c r="U64" s="3">
        <v>23.8</v>
      </c>
      <c r="V64" s="3">
        <v>25.2</v>
      </c>
      <c r="W64" s="3">
        <v>18.600000000000001</v>
      </c>
      <c r="X64" s="3">
        <v>17.7</v>
      </c>
      <c r="Y64" s="2">
        <f t="shared" si="1"/>
        <v>49</v>
      </c>
      <c r="Z64" s="2">
        <f t="shared" si="2"/>
        <v>36.299999999999997</v>
      </c>
      <c r="AA64" s="2">
        <f t="shared" si="3"/>
        <v>1.3498622589531681</v>
      </c>
      <c r="AB64" s="3">
        <v>15</v>
      </c>
      <c r="AC64" s="3">
        <v>18</v>
      </c>
      <c r="AD64" s="3">
        <v>6</v>
      </c>
      <c r="AE64" s="3">
        <v>5</v>
      </c>
      <c r="AF64" s="3">
        <v>25.5</v>
      </c>
      <c r="AG64" s="2"/>
      <c r="AH64" s="2">
        <f t="shared" si="37"/>
        <v>0</v>
      </c>
      <c r="AI64" s="2"/>
      <c r="AJ64" s="2">
        <f t="shared" si="38"/>
        <v>0</v>
      </c>
      <c r="AK64" s="2"/>
      <c r="AL64" s="2"/>
      <c r="AM64" s="3">
        <v>35.1</v>
      </c>
      <c r="AN64" s="3">
        <v>1730</v>
      </c>
      <c r="AO64" s="3">
        <v>10436</v>
      </c>
      <c r="AP64" s="3">
        <v>2.34</v>
      </c>
      <c r="AQ64" s="2"/>
      <c r="AR64" s="2"/>
      <c r="AS64" s="2"/>
      <c r="AT64" s="2"/>
      <c r="AU64" s="3">
        <v>18</v>
      </c>
      <c r="AV64" s="2"/>
      <c r="AW64" s="49"/>
      <c r="AX64" s="49"/>
      <c r="AY64" s="49"/>
      <c r="AZ64" s="3">
        <v>7.12</v>
      </c>
      <c r="BA64" s="43">
        <v>9.6879273589999997</v>
      </c>
      <c r="BB64" s="2"/>
      <c r="BC64" s="2"/>
      <c r="BD64" s="3">
        <v>256</v>
      </c>
      <c r="BE64" s="2">
        <f t="shared" si="24"/>
        <v>3.6887608069164264</v>
      </c>
      <c r="BF64" s="3">
        <v>240</v>
      </c>
      <c r="BG64" s="2">
        <f t="shared" si="25"/>
        <v>3.4582132564841497</v>
      </c>
      <c r="BH64" s="3">
        <v>155</v>
      </c>
      <c r="BI64" s="2">
        <f t="shared" si="26"/>
        <v>2.23342939481268</v>
      </c>
      <c r="BJ64" s="3">
        <v>163</v>
      </c>
      <c r="BK64" s="2">
        <f t="shared" si="27"/>
        <v>2.3487031700288181</v>
      </c>
      <c r="BL64" s="3">
        <v>137</v>
      </c>
      <c r="BM64" s="2">
        <f t="shared" si="28"/>
        <v>1.9740634005763686</v>
      </c>
      <c r="BN64" s="3">
        <v>127</v>
      </c>
      <c r="BO64" s="2">
        <f t="shared" si="29"/>
        <v>1.8299711815561959</v>
      </c>
      <c r="BP64" s="3">
        <v>100</v>
      </c>
      <c r="BQ64" s="2">
        <f t="shared" si="30"/>
        <v>1.4409221902017291</v>
      </c>
      <c r="BR64" s="3">
        <v>84</v>
      </c>
      <c r="BS64" s="2">
        <f t="shared" si="31"/>
        <v>1.2103746397694524</v>
      </c>
      <c r="BT64" s="3">
        <v>158</v>
      </c>
      <c r="BU64" s="2">
        <f t="shared" si="32"/>
        <v>2.276657060518732</v>
      </c>
      <c r="BV64" s="3">
        <v>142</v>
      </c>
      <c r="BW64" s="2">
        <f t="shared" si="14"/>
        <v>2.0461095100864553</v>
      </c>
      <c r="BX64" s="2">
        <f t="shared" si="15"/>
        <v>1.0193548387096774</v>
      </c>
      <c r="BY64" s="2">
        <f t="shared" si="16"/>
        <v>0.87116564417177911</v>
      </c>
      <c r="BZ64" s="2">
        <v>5</v>
      </c>
      <c r="CA64" s="2">
        <v>7</v>
      </c>
      <c r="CB64" s="2">
        <v>2.5</v>
      </c>
      <c r="CC64" s="2">
        <v>8.5</v>
      </c>
      <c r="CD64" s="2">
        <v>4</v>
      </c>
      <c r="CE64" s="2">
        <v>5</v>
      </c>
      <c r="CF64" s="2">
        <v>10</v>
      </c>
      <c r="CG64" s="2">
        <v>5</v>
      </c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15" t="e">
        <f t="shared" si="19"/>
        <v>#DIV/0!</v>
      </c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</row>
    <row r="65" spans="1:129" ht="14.25" customHeight="1" thickBot="1">
      <c r="A65" s="34" t="s">
        <v>228</v>
      </c>
      <c r="B65" s="3">
        <v>44</v>
      </c>
      <c r="C65" s="3" t="s">
        <v>148</v>
      </c>
      <c r="D65" s="16" t="s">
        <v>144</v>
      </c>
      <c r="E65" s="3" t="s">
        <v>171</v>
      </c>
      <c r="F65" s="13">
        <v>38799</v>
      </c>
      <c r="G65" s="12" t="s">
        <v>215</v>
      </c>
      <c r="H65" s="20">
        <v>20</v>
      </c>
      <c r="I65" s="3">
        <v>75</v>
      </c>
      <c r="J65" s="3">
        <v>184</v>
      </c>
      <c r="K65" s="3">
        <f t="shared" si="0"/>
        <v>41</v>
      </c>
      <c r="L65" s="13">
        <v>46199</v>
      </c>
      <c r="M65" s="3" t="s">
        <v>147</v>
      </c>
      <c r="N65" s="3">
        <v>1246</v>
      </c>
      <c r="O65" s="3">
        <v>37.299999999999997</v>
      </c>
      <c r="P65" s="3">
        <v>35.6</v>
      </c>
      <c r="Q65" s="3">
        <v>11.5</v>
      </c>
      <c r="R65" s="3">
        <v>14</v>
      </c>
      <c r="S65" s="3">
        <v>13.6</v>
      </c>
      <c r="T65" s="3">
        <v>9.1</v>
      </c>
      <c r="U65" s="3">
        <v>23.2</v>
      </c>
      <c r="V65" s="3">
        <v>23.4</v>
      </c>
      <c r="W65" s="3">
        <v>23.8</v>
      </c>
      <c r="X65" s="3">
        <v>24.6</v>
      </c>
      <c r="Y65" s="2">
        <f t="shared" si="1"/>
        <v>46.599999999999994</v>
      </c>
      <c r="Z65" s="2">
        <f t="shared" si="2"/>
        <v>48.400000000000006</v>
      </c>
      <c r="AA65" s="2">
        <f t="shared" si="3"/>
        <v>0.96280991735537169</v>
      </c>
      <c r="AB65" s="3">
        <v>18</v>
      </c>
      <c r="AC65" s="3">
        <v>18</v>
      </c>
      <c r="AD65" s="3">
        <v>12</v>
      </c>
      <c r="AE65" s="3">
        <v>14</v>
      </c>
      <c r="AF65" s="3">
        <v>43.5</v>
      </c>
      <c r="AG65" s="2"/>
      <c r="AH65" s="2">
        <f t="shared" si="37"/>
        <v>0</v>
      </c>
      <c r="AI65" s="2"/>
      <c r="AJ65" s="2">
        <f t="shared" si="38"/>
        <v>0</v>
      </c>
      <c r="AK65" s="2"/>
      <c r="AL65" s="2"/>
      <c r="AM65" s="3">
        <v>52.9</v>
      </c>
      <c r="AN65" s="3">
        <v>1931</v>
      </c>
      <c r="AO65" s="3">
        <v>9792</v>
      </c>
      <c r="AP65" s="3">
        <v>2.21</v>
      </c>
      <c r="AQ65" s="3">
        <v>6220</v>
      </c>
      <c r="AR65" s="2"/>
      <c r="AS65" s="2"/>
      <c r="AT65" s="2"/>
      <c r="AU65" s="3">
        <v>17.5</v>
      </c>
      <c r="AV65" s="2"/>
      <c r="AW65" s="51">
        <v>9271</v>
      </c>
      <c r="AX65" s="51">
        <v>570</v>
      </c>
      <c r="AY65" s="51">
        <v>120.7</v>
      </c>
      <c r="AZ65" s="3">
        <v>6.73</v>
      </c>
      <c r="BA65" s="43">
        <v>7.7926816160000003</v>
      </c>
      <c r="BB65" s="2"/>
      <c r="BC65" s="2"/>
      <c r="BD65" s="3">
        <v>314</v>
      </c>
      <c r="BE65" s="2">
        <f t="shared" si="24"/>
        <v>4.1866666666666665</v>
      </c>
      <c r="BF65" s="3">
        <v>340</v>
      </c>
      <c r="BG65" s="2">
        <f t="shared" si="25"/>
        <v>4.5333333333333332</v>
      </c>
      <c r="BH65" s="3">
        <v>195</v>
      </c>
      <c r="BI65" s="2">
        <f t="shared" si="26"/>
        <v>2.6</v>
      </c>
      <c r="BJ65" s="3">
        <v>204</v>
      </c>
      <c r="BK65" s="2">
        <f t="shared" si="27"/>
        <v>2.72</v>
      </c>
      <c r="BL65" s="3">
        <v>170</v>
      </c>
      <c r="BM65" s="2">
        <f t="shared" si="28"/>
        <v>2.2666666666666666</v>
      </c>
      <c r="BN65" s="3">
        <v>177</v>
      </c>
      <c r="BO65" s="2">
        <f t="shared" si="29"/>
        <v>2.36</v>
      </c>
      <c r="BP65" s="3">
        <v>157</v>
      </c>
      <c r="BQ65" s="2">
        <f t="shared" si="30"/>
        <v>2.0933333333333333</v>
      </c>
      <c r="BR65" s="3">
        <v>162</v>
      </c>
      <c r="BS65" s="2">
        <f t="shared" si="31"/>
        <v>2.16</v>
      </c>
      <c r="BT65" s="3">
        <v>210</v>
      </c>
      <c r="BU65" s="2">
        <f t="shared" si="32"/>
        <v>2.8</v>
      </c>
      <c r="BV65" s="3">
        <v>211</v>
      </c>
      <c r="BW65" s="2">
        <f t="shared" si="14"/>
        <v>2.8133333333333335</v>
      </c>
      <c r="BX65" s="2">
        <f t="shared" si="15"/>
        <v>1.0769230769230769</v>
      </c>
      <c r="BY65" s="2">
        <f t="shared" si="16"/>
        <v>1.0343137254901962</v>
      </c>
      <c r="BZ65" s="3">
        <v>4.5</v>
      </c>
      <c r="CA65" s="3">
        <v>7.5</v>
      </c>
      <c r="CB65" s="3">
        <v>2</v>
      </c>
      <c r="CC65" s="3">
        <v>6</v>
      </c>
      <c r="CD65" s="3">
        <v>3.5</v>
      </c>
      <c r="CE65" s="3">
        <v>6</v>
      </c>
      <c r="CF65" s="3">
        <v>7.5</v>
      </c>
      <c r="CG65" s="3">
        <v>4</v>
      </c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15" t="e">
        <f t="shared" si="19"/>
        <v>#DIV/0!</v>
      </c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</row>
    <row r="66" spans="1:129" ht="14.25" customHeight="1">
      <c r="A66" s="8" t="s">
        <v>229</v>
      </c>
      <c r="B66" s="3">
        <v>42</v>
      </c>
      <c r="C66" s="3" t="s">
        <v>148</v>
      </c>
      <c r="D66" s="16" t="s">
        <v>150</v>
      </c>
      <c r="E66" s="3" t="s">
        <v>199</v>
      </c>
      <c r="F66" s="13">
        <v>38972</v>
      </c>
      <c r="G66" s="18" t="s">
        <v>215</v>
      </c>
      <c r="H66" s="28">
        <v>19</v>
      </c>
      <c r="I66" s="3">
        <v>82.1</v>
      </c>
      <c r="J66" s="3">
        <v>189</v>
      </c>
      <c r="K66" s="3">
        <f t="shared" si="0"/>
        <v>32.5</v>
      </c>
      <c r="L66" s="13">
        <v>46199</v>
      </c>
      <c r="M66" s="3" t="s">
        <v>147</v>
      </c>
      <c r="N66" s="3">
        <v>1237</v>
      </c>
      <c r="O66" s="3">
        <v>38.200000000000003</v>
      </c>
      <c r="P66" s="3">
        <v>39.700000000000003</v>
      </c>
      <c r="Q66" s="3">
        <v>10.4</v>
      </c>
      <c r="R66" s="3">
        <v>8.6999999999999993</v>
      </c>
      <c r="S66" s="3">
        <v>7.4</v>
      </c>
      <c r="T66" s="3">
        <v>11.1</v>
      </c>
      <c r="U66" s="3">
        <v>27</v>
      </c>
      <c r="V66" s="3">
        <v>24.6</v>
      </c>
      <c r="W66" s="3">
        <v>20.2</v>
      </c>
      <c r="X66" s="3">
        <v>20.9</v>
      </c>
      <c r="Y66" s="2">
        <f t="shared" si="1"/>
        <v>51.6</v>
      </c>
      <c r="Z66" s="2">
        <f t="shared" si="2"/>
        <v>41.099999999999994</v>
      </c>
      <c r="AA66" s="2">
        <f t="shared" si="3"/>
        <v>1.2554744525547448</v>
      </c>
      <c r="AB66" s="3">
        <v>16</v>
      </c>
      <c r="AC66" s="3">
        <v>17</v>
      </c>
      <c r="AD66" s="3">
        <v>11</v>
      </c>
      <c r="AE66" s="3">
        <v>6</v>
      </c>
      <c r="AF66" s="3">
        <v>34.5</v>
      </c>
      <c r="AG66" s="2"/>
      <c r="AH66" s="2">
        <f t="shared" si="37"/>
        <v>0</v>
      </c>
      <c r="AI66" s="2"/>
      <c r="AJ66" s="2">
        <f t="shared" si="38"/>
        <v>0</v>
      </c>
      <c r="AK66" s="2"/>
      <c r="AL66" s="2"/>
      <c r="AM66" s="3">
        <v>38.799999999999997</v>
      </c>
      <c r="AN66" s="3">
        <v>2200</v>
      </c>
      <c r="AO66" s="3">
        <v>22313</v>
      </c>
      <c r="AP66" s="3">
        <v>3.17</v>
      </c>
      <c r="AQ66" s="2"/>
      <c r="AR66" s="2"/>
      <c r="AS66" s="2"/>
      <c r="AT66" s="2"/>
      <c r="AU66" s="3">
        <v>17.5</v>
      </c>
      <c r="AV66" s="2"/>
      <c r="AW66" s="2"/>
      <c r="AX66" s="2"/>
      <c r="AY66" s="2"/>
      <c r="AZ66" s="3">
        <v>6.51</v>
      </c>
      <c r="BA66" s="43">
        <v>9.2019935910000008</v>
      </c>
      <c r="BB66" s="2"/>
      <c r="BC66" s="2"/>
      <c r="BD66" s="5">
        <v>261</v>
      </c>
      <c r="BE66" s="2">
        <f>BD65/I66</f>
        <v>3.8246041412911085</v>
      </c>
      <c r="BF66" s="3">
        <v>197</v>
      </c>
      <c r="BG66" s="2">
        <f t="shared" si="25"/>
        <v>2.3995127892813644</v>
      </c>
      <c r="BH66" s="3">
        <v>187</v>
      </c>
      <c r="BI66" s="2">
        <f t="shared" si="26"/>
        <v>2.2777101096224119</v>
      </c>
      <c r="BJ66" s="3">
        <v>176</v>
      </c>
      <c r="BK66" s="2">
        <f t="shared" si="27"/>
        <v>2.143727161997564</v>
      </c>
      <c r="BL66" s="3">
        <v>152</v>
      </c>
      <c r="BM66" s="2">
        <f t="shared" si="28"/>
        <v>1.851400730816078</v>
      </c>
      <c r="BN66" s="3">
        <v>143</v>
      </c>
      <c r="BO66" s="2">
        <f t="shared" si="29"/>
        <v>1.7417783191230207</v>
      </c>
      <c r="BP66" s="3">
        <v>121</v>
      </c>
      <c r="BQ66" s="2">
        <f t="shared" si="30"/>
        <v>1.4738124238733252</v>
      </c>
      <c r="BR66" s="3">
        <v>104</v>
      </c>
      <c r="BS66" s="2">
        <f t="shared" si="31"/>
        <v>1.2667478684531062</v>
      </c>
      <c r="BT66" s="3">
        <v>203</v>
      </c>
      <c r="BU66" s="2">
        <f t="shared" si="32"/>
        <v>2.4725943970767359</v>
      </c>
      <c r="BV66" s="3">
        <v>180</v>
      </c>
      <c r="BW66" s="2">
        <f t="shared" si="14"/>
        <v>2.1924482338611453</v>
      </c>
      <c r="BX66" s="2">
        <f t="shared" si="15"/>
        <v>1.0855614973262031</v>
      </c>
      <c r="BY66" s="2">
        <f t="shared" si="16"/>
        <v>1.0227272727272727</v>
      </c>
      <c r="BZ66" s="2">
        <v>3</v>
      </c>
      <c r="CA66" s="2">
        <v>5.5</v>
      </c>
      <c r="CB66" s="2">
        <v>1.5</v>
      </c>
      <c r="CC66" s="2">
        <v>5</v>
      </c>
      <c r="CD66" s="2">
        <v>3</v>
      </c>
      <c r="CE66" s="2">
        <v>5.5</v>
      </c>
      <c r="CF66" s="2">
        <v>5.5</v>
      </c>
      <c r="CG66" s="2">
        <v>3.5</v>
      </c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15" t="e">
        <f t="shared" si="19"/>
        <v>#DIV/0!</v>
      </c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</row>
    <row r="67" spans="1:129" ht="14.25" customHeight="1">
      <c r="A67" s="8" t="s">
        <v>230</v>
      </c>
      <c r="B67" s="3">
        <v>49</v>
      </c>
      <c r="C67" s="3" t="s">
        <v>148</v>
      </c>
      <c r="D67" s="16" t="s">
        <v>144</v>
      </c>
      <c r="E67" s="3" t="s">
        <v>171</v>
      </c>
      <c r="F67" s="13">
        <v>39910</v>
      </c>
      <c r="G67" s="12" t="s">
        <v>215</v>
      </c>
      <c r="H67" s="20">
        <v>17</v>
      </c>
      <c r="I67" s="3">
        <v>75.400000000000006</v>
      </c>
      <c r="J67" s="3">
        <v>184.5</v>
      </c>
      <c r="K67" s="3">
        <f t="shared" si="0"/>
        <v>58.5</v>
      </c>
      <c r="L67" s="13">
        <v>46199</v>
      </c>
      <c r="M67" s="3" t="s">
        <v>147</v>
      </c>
      <c r="N67" s="3">
        <v>1168</v>
      </c>
      <c r="O67" s="3">
        <v>36.200000000000003</v>
      </c>
      <c r="P67" s="3">
        <v>36.799999999999997</v>
      </c>
      <c r="Q67" s="3">
        <v>13.3</v>
      </c>
      <c r="R67" s="3">
        <v>13.5</v>
      </c>
      <c r="S67" s="3">
        <v>14.9</v>
      </c>
      <c r="T67" s="3">
        <v>13</v>
      </c>
      <c r="U67" s="3">
        <v>30.6</v>
      </c>
      <c r="V67" s="3">
        <v>33.9</v>
      </c>
      <c r="W67" s="3">
        <v>22.3</v>
      </c>
      <c r="X67" s="3">
        <v>23.5</v>
      </c>
      <c r="Y67" s="2">
        <f t="shared" si="1"/>
        <v>64.5</v>
      </c>
      <c r="Z67" s="2">
        <f t="shared" si="2"/>
        <v>45.8</v>
      </c>
      <c r="AA67" s="2">
        <f t="shared" si="3"/>
        <v>1.4082969432314412</v>
      </c>
      <c r="AB67" s="3">
        <v>17</v>
      </c>
      <c r="AC67" s="3">
        <v>17</v>
      </c>
      <c r="AD67" s="3">
        <v>5</v>
      </c>
      <c r="AE67" s="3">
        <v>6</v>
      </c>
      <c r="AF67" s="3">
        <v>15.5</v>
      </c>
      <c r="AG67" s="2"/>
      <c r="AH67" s="2">
        <f t="shared" si="37"/>
        <v>0</v>
      </c>
      <c r="AI67" s="2"/>
      <c r="AJ67" s="2">
        <f t="shared" si="38"/>
        <v>0</v>
      </c>
      <c r="AK67" s="2"/>
      <c r="AL67" s="2"/>
      <c r="AM67" s="3">
        <v>39.799999999999997</v>
      </c>
      <c r="AN67" s="3">
        <v>1700</v>
      </c>
      <c r="AO67" s="3">
        <v>8696</v>
      </c>
      <c r="AP67" s="3">
        <v>2.68</v>
      </c>
      <c r="AQ67" s="2"/>
      <c r="AR67" s="2"/>
      <c r="AS67" s="2"/>
      <c r="AT67" s="2"/>
      <c r="AU67" s="3">
        <v>17</v>
      </c>
      <c r="AV67" s="2"/>
      <c r="AW67" s="2"/>
      <c r="AX67" s="2"/>
      <c r="AY67" s="2"/>
      <c r="AZ67" s="3">
        <v>7.82</v>
      </c>
      <c r="BA67" s="43">
        <v>9.1069778469999996</v>
      </c>
      <c r="BB67" s="2"/>
      <c r="BC67" s="2"/>
      <c r="BD67" s="3">
        <v>214</v>
      </c>
      <c r="BE67" s="2">
        <f t="shared" ref="BE67:BE72" si="39">BD67/I67</f>
        <v>2.8381962864721482</v>
      </c>
      <c r="BF67" s="3">
        <v>281</v>
      </c>
      <c r="BG67" s="2">
        <f t="shared" si="25"/>
        <v>3.7267904509283816</v>
      </c>
      <c r="BH67" s="3">
        <v>159</v>
      </c>
      <c r="BI67" s="2">
        <f t="shared" si="26"/>
        <v>2.1087533156498672</v>
      </c>
      <c r="BJ67" s="3">
        <v>180</v>
      </c>
      <c r="BK67" s="2">
        <f t="shared" si="27"/>
        <v>2.3872679045092835</v>
      </c>
      <c r="BL67" s="3">
        <v>148</v>
      </c>
      <c r="BM67" s="2">
        <f t="shared" si="28"/>
        <v>1.9628647214854109</v>
      </c>
      <c r="BN67" s="3">
        <v>155</v>
      </c>
      <c r="BO67" s="2">
        <f t="shared" si="29"/>
        <v>2.0557029177718831</v>
      </c>
      <c r="BP67" s="3">
        <v>152</v>
      </c>
      <c r="BQ67" s="2">
        <f t="shared" si="30"/>
        <v>2.0159151193633953</v>
      </c>
      <c r="BR67" s="3">
        <v>114</v>
      </c>
      <c r="BS67" s="2">
        <f t="shared" si="31"/>
        <v>1.5119363395225462</v>
      </c>
      <c r="BT67" s="3">
        <v>175</v>
      </c>
      <c r="BU67" s="2">
        <f t="shared" si="32"/>
        <v>2.3209549071618034</v>
      </c>
      <c r="BV67" s="3">
        <v>175</v>
      </c>
      <c r="BW67" s="2">
        <f t="shared" si="14"/>
        <v>2.3209549071618034</v>
      </c>
      <c r="BX67" s="2">
        <f t="shared" si="15"/>
        <v>1.10062893081761</v>
      </c>
      <c r="BY67" s="2">
        <f t="shared" si="16"/>
        <v>0.97222222222222221</v>
      </c>
      <c r="BZ67" s="2">
        <v>7</v>
      </c>
      <c r="CA67" s="2">
        <v>10.5</v>
      </c>
      <c r="CB67" s="2">
        <v>3.5</v>
      </c>
      <c r="CC67" s="2">
        <v>9.5</v>
      </c>
      <c r="CD67" s="2">
        <v>5.5</v>
      </c>
      <c r="CE67" s="2">
        <v>10</v>
      </c>
      <c r="CF67" s="2">
        <v>7.5</v>
      </c>
      <c r="CG67" s="2">
        <v>5</v>
      </c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15" t="e">
        <f t="shared" si="19"/>
        <v>#DIV/0!</v>
      </c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</row>
    <row r="68" spans="1:129" ht="14.25" customHeight="1">
      <c r="A68" s="8" t="s">
        <v>231</v>
      </c>
      <c r="B68" s="3">
        <v>56</v>
      </c>
      <c r="C68" s="3" t="s">
        <v>148</v>
      </c>
      <c r="D68" s="16" t="s">
        <v>150</v>
      </c>
      <c r="E68" s="3" t="s">
        <v>153</v>
      </c>
      <c r="F68" s="13">
        <v>39821</v>
      </c>
      <c r="G68" s="18" t="s">
        <v>215</v>
      </c>
      <c r="H68" s="12">
        <v>17</v>
      </c>
      <c r="I68" s="3">
        <v>66</v>
      </c>
      <c r="J68" s="3">
        <v>173</v>
      </c>
      <c r="K68" s="3">
        <f t="shared" si="0"/>
        <v>46.5</v>
      </c>
      <c r="L68" s="2"/>
      <c r="M68" s="3" t="s">
        <v>147</v>
      </c>
      <c r="N68" s="3">
        <v>825</v>
      </c>
      <c r="O68" s="3">
        <v>27</v>
      </c>
      <c r="P68" s="3">
        <v>31.5</v>
      </c>
      <c r="Q68" s="3">
        <v>8.6999999999999993</v>
      </c>
      <c r="R68" s="3">
        <v>8</v>
      </c>
      <c r="S68" s="3">
        <v>9.5</v>
      </c>
      <c r="T68" s="3">
        <v>7.5</v>
      </c>
      <c r="U68" s="3">
        <v>31.8</v>
      </c>
      <c r="V68" s="3">
        <v>34.200000000000003</v>
      </c>
      <c r="W68" s="3">
        <v>23.8</v>
      </c>
      <c r="X68" s="3">
        <v>22.9</v>
      </c>
      <c r="Y68" s="2">
        <f t="shared" si="1"/>
        <v>66</v>
      </c>
      <c r="Z68" s="2">
        <f t="shared" si="2"/>
        <v>46.7</v>
      </c>
      <c r="AA68" s="2">
        <f t="shared" si="3"/>
        <v>1.4132762312633833</v>
      </c>
      <c r="AB68" s="3">
        <v>16</v>
      </c>
      <c r="AC68" s="3">
        <v>13</v>
      </c>
      <c r="AD68" s="3">
        <v>7.5</v>
      </c>
      <c r="AE68" s="3">
        <v>9</v>
      </c>
      <c r="AF68" s="3">
        <v>12.5</v>
      </c>
      <c r="AG68" s="2"/>
      <c r="AH68" s="2">
        <f t="shared" si="37"/>
        <v>0</v>
      </c>
      <c r="AI68" s="2"/>
      <c r="AJ68" s="2">
        <f t="shared" si="38"/>
        <v>0</v>
      </c>
      <c r="AK68" s="2"/>
      <c r="AL68" s="2"/>
      <c r="AM68" s="3">
        <v>34</v>
      </c>
      <c r="AN68" s="3">
        <v>1621</v>
      </c>
      <c r="AO68" s="3">
        <v>7352</v>
      </c>
      <c r="AP68" s="3">
        <v>2.89</v>
      </c>
      <c r="AQ68" s="2"/>
      <c r="AR68" s="2"/>
      <c r="AS68" s="2"/>
      <c r="AT68" s="2"/>
      <c r="AU68" s="3">
        <v>17.5</v>
      </c>
      <c r="AV68" s="2"/>
      <c r="AW68" s="2"/>
      <c r="AX68" s="2"/>
      <c r="AY68" s="2"/>
      <c r="AZ68" s="3">
        <v>7.59</v>
      </c>
      <c r="BA68" s="43">
        <v>9.9196467790000007</v>
      </c>
      <c r="BB68" s="2"/>
      <c r="BC68" s="2"/>
      <c r="BD68" s="3">
        <v>213</v>
      </c>
      <c r="BE68" s="2">
        <f t="shared" si="39"/>
        <v>3.2272727272727271</v>
      </c>
      <c r="BF68" s="3">
        <v>213</v>
      </c>
      <c r="BG68" s="2">
        <f t="shared" si="25"/>
        <v>3.2272727272727271</v>
      </c>
      <c r="BH68" s="3">
        <v>147.19999999999999</v>
      </c>
      <c r="BI68" s="2">
        <f t="shared" si="26"/>
        <v>2.23030303030303</v>
      </c>
      <c r="BJ68" s="3">
        <v>145</v>
      </c>
      <c r="BK68" s="2">
        <f t="shared" si="27"/>
        <v>2.1969696969696968</v>
      </c>
      <c r="BL68" s="3">
        <v>116</v>
      </c>
      <c r="BM68" s="2">
        <f t="shared" si="28"/>
        <v>1.7575757575757576</v>
      </c>
      <c r="BN68" s="5">
        <v>124</v>
      </c>
      <c r="BO68" s="2">
        <f t="shared" si="29"/>
        <v>1.8787878787878789</v>
      </c>
      <c r="BP68" s="3">
        <v>94.4</v>
      </c>
      <c r="BQ68" s="2">
        <f t="shared" si="30"/>
        <v>1.4303030303030304</v>
      </c>
      <c r="BR68" s="3">
        <v>104</v>
      </c>
      <c r="BS68" s="2">
        <f t="shared" si="31"/>
        <v>1.5757575757575757</v>
      </c>
      <c r="BT68" s="3">
        <v>155</v>
      </c>
      <c r="BU68" s="2">
        <f t="shared" si="32"/>
        <v>2.3484848484848486</v>
      </c>
      <c r="BV68" s="3">
        <v>172</v>
      </c>
      <c r="BW68" s="2">
        <f t="shared" si="14"/>
        <v>2.606060606060606</v>
      </c>
      <c r="BX68" s="2">
        <f t="shared" si="15"/>
        <v>1.0529891304347827</v>
      </c>
      <c r="BY68" s="2">
        <f t="shared" si="16"/>
        <v>1.1862068965517241</v>
      </c>
      <c r="BZ68" s="2">
        <v>5</v>
      </c>
      <c r="CA68" s="2">
        <v>7</v>
      </c>
      <c r="CB68" s="2">
        <v>2.5</v>
      </c>
      <c r="CC68" s="2">
        <v>7.5</v>
      </c>
      <c r="CD68" s="2">
        <v>3</v>
      </c>
      <c r="CE68" s="2">
        <v>6</v>
      </c>
      <c r="CF68" s="2">
        <v>8.5</v>
      </c>
      <c r="CG68" s="2">
        <v>7</v>
      </c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15" t="e">
        <f t="shared" si="19"/>
        <v>#DIV/0!</v>
      </c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</row>
    <row r="69" spans="1:129" ht="14.25" customHeight="1">
      <c r="A69" s="3" t="s">
        <v>232</v>
      </c>
      <c r="B69" s="3">
        <v>73</v>
      </c>
      <c r="C69" s="3" t="s">
        <v>148</v>
      </c>
      <c r="D69" s="16" t="s">
        <v>150</v>
      </c>
      <c r="E69" s="3" t="s">
        <v>153</v>
      </c>
      <c r="F69" s="13">
        <v>39244</v>
      </c>
      <c r="G69" s="12" t="s">
        <v>190</v>
      </c>
      <c r="H69" s="18">
        <v>19</v>
      </c>
      <c r="I69" s="3">
        <v>80.099999999999994</v>
      </c>
      <c r="J69" s="3">
        <v>183</v>
      </c>
      <c r="K69" s="3">
        <f t="shared" si="0"/>
        <v>35</v>
      </c>
      <c r="L69" s="37">
        <v>46197</v>
      </c>
      <c r="M69" s="3" t="s">
        <v>147</v>
      </c>
      <c r="N69" s="3">
        <v>1181</v>
      </c>
      <c r="O69" s="3">
        <v>33.9</v>
      </c>
      <c r="P69" s="3">
        <v>39.6</v>
      </c>
      <c r="Q69" s="3">
        <v>8.8000000000000007</v>
      </c>
      <c r="R69" s="3">
        <v>8.1</v>
      </c>
      <c r="S69" s="3">
        <v>8.6999999999999993</v>
      </c>
      <c r="T69" s="3">
        <v>9.8000000000000007</v>
      </c>
      <c r="U69" s="3">
        <v>21.1</v>
      </c>
      <c r="V69" s="3">
        <v>21.9</v>
      </c>
      <c r="W69" s="3">
        <v>14.6</v>
      </c>
      <c r="X69" s="3">
        <v>18.7</v>
      </c>
      <c r="Y69" s="2">
        <f t="shared" si="1"/>
        <v>43</v>
      </c>
      <c r="Z69" s="2">
        <f t="shared" si="2"/>
        <v>33.299999999999997</v>
      </c>
      <c r="AA69" s="2">
        <f t="shared" si="3"/>
        <v>1.2912912912912915</v>
      </c>
      <c r="AB69" s="3">
        <v>15</v>
      </c>
      <c r="AC69" s="3">
        <v>18</v>
      </c>
      <c r="AD69" s="3">
        <v>11</v>
      </c>
      <c r="AE69" s="3">
        <v>6.5</v>
      </c>
      <c r="AF69" s="3">
        <v>23.5</v>
      </c>
      <c r="AG69" s="2"/>
      <c r="AH69" s="2">
        <f t="shared" si="37"/>
        <v>0</v>
      </c>
      <c r="AI69" s="2"/>
      <c r="AJ69" s="2"/>
      <c r="AK69" s="2"/>
      <c r="AL69" s="2"/>
      <c r="AM69" s="3">
        <v>37.200000000000003</v>
      </c>
      <c r="AN69" s="3">
        <v>1817</v>
      </c>
      <c r="AO69" s="3">
        <v>7078</v>
      </c>
      <c r="AP69" s="3">
        <v>1.94</v>
      </c>
      <c r="AQ69" s="2"/>
      <c r="AR69" s="2"/>
      <c r="AS69" s="2"/>
      <c r="AT69" s="2"/>
      <c r="AU69" s="2"/>
      <c r="AV69" s="2"/>
      <c r="AW69" s="2"/>
      <c r="AX69" s="2"/>
      <c r="AY69" s="2"/>
      <c r="AZ69" s="3">
        <v>7.23</v>
      </c>
      <c r="BA69" s="43">
        <v>9.5447083030000002</v>
      </c>
      <c r="BB69" s="2"/>
      <c r="BC69" s="2"/>
      <c r="BD69" s="3">
        <v>252</v>
      </c>
      <c r="BE69" s="2">
        <f t="shared" si="39"/>
        <v>3.1460674157303372</v>
      </c>
      <c r="BF69" s="3">
        <v>261</v>
      </c>
      <c r="BG69" s="2">
        <f t="shared" si="25"/>
        <v>3.2584269662921352</v>
      </c>
      <c r="BH69" s="3">
        <v>182</v>
      </c>
      <c r="BI69" s="2">
        <f t="shared" si="26"/>
        <v>2.2721598002496881</v>
      </c>
      <c r="BJ69" s="3">
        <v>174</v>
      </c>
      <c r="BK69" s="2">
        <f t="shared" si="27"/>
        <v>2.1722846441947565</v>
      </c>
      <c r="BL69" s="3">
        <v>135</v>
      </c>
      <c r="BM69" s="2">
        <f t="shared" si="28"/>
        <v>1.6853932584269664</v>
      </c>
      <c r="BN69" s="3">
        <v>140</v>
      </c>
      <c r="BO69" s="2">
        <f t="shared" si="29"/>
        <v>1.7478152309612984</v>
      </c>
      <c r="BP69" s="3">
        <v>122</v>
      </c>
      <c r="BQ69" s="2">
        <f t="shared" si="30"/>
        <v>1.523096129837703</v>
      </c>
      <c r="BR69" s="3">
        <v>128</v>
      </c>
      <c r="BS69" s="2">
        <f t="shared" si="31"/>
        <v>1.5980024968789015</v>
      </c>
      <c r="BT69" s="3">
        <v>188</v>
      </c>
      <c r="BU69" s="2">
        <f t="shared" si="32"/>
        <v>2.3470661672908864</v>
      </c>
      <c r="BV69" s="3">
        <v>149</v>
      </c>
      <c r="BW69" s="2">
        <f t="shared" si="14"/>
        <v>1.8601747815230962</v>
      </c>
      <c r="BX69" s="2">
        <f t="shared" si="15"/>
        <v>1.0329670329670331</v>
      </c>
      <c r="BY69" s="2">
        <f t="shared" si="16"/>
        <v>0.85632183908045978</v>
      </c>
      <c r="BZ69" s="2">
        <v>4.5</v>
      </c>
      <c r="CA69" s="2">
        <v>5</v>
      </c>
      <c r="CB69" s="2">
        <v>2</v>
      </c>
      <c r="CC69" s="2">
        <v>5.5</v>
      </c>
      <c r="CD69" s="2">
        <v>4</v>
      </c>
      <c r="CE69" s="2">
        <v>5.5</v>
      </c>
      <c r="CF69" s="2">
        <v>5</v>
      </c>
      <c r="CG69" s="2">
        <v>3.5</v>
      </c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15" t="e">
        <f t="shared" si="19"/>
        <v>#DIV/0!</v>
      </c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</row>
    <row r="70" spans="1:129" ht="14.25" customHeight="1">
      <c r="A70" s="38" t="s">
        <v>233</v>
      </c>
      <c r="B70" s="12"/>
      <c r="C70" s="12" t="s">
        <v>148</v>
      </c>
      <c r="D70" s="10" t="s">
        <v>144</v>
      </c>
      <c r="E70" s="12" t="s">
        <v>234</v>
      </c>
      <c r="F70" s="39">
        <v>39161</v>
      </c>
      <c r="G70" s="12" t="s">
        <v>215</v>
      </c>
      <c r="H70" s="12">
        <v>18</v>
      </c>
      <c r="I70" s="3">
        <v>80</v>
      </c>
      <c r="J70" s="3">
        <v>183</v>
      </c>
      <c r="K70" s="3">
        <f t="shared" si="0"/>
        <v>34.5</v>
      </c>
      <c r="L70" s="37">
        <v>46219</v>
      </c>
      <c r="M70" s="3" t="s">
        <v>147</v>
      </c>
      <c r="N70" s="3">
        <v>1597</v>
      </c>
      <c r="O70" s="3">
        <v>37.4</v>
      </c>
      <c r="P70" s="3">
        <v>42.7</v>
      </c>
      <c r="Q70" s="3">
        <v>11.5</v>
      </c>
      <c r="R70" s="3">
        <v>10.1</v>
      </c>
      <c r="S70" s="3">
        <v>8.5</v>
      </c>
      <c r="T70" s="3">
        <v>12.4</v>
      </c>
      <c r="U70" s="3">
        <v>29.3</v>
      </c>
      <c r="V70" s="3">
        <v>29.1</v>
      </c>
      <c r="W70" s="3">
        <v>26.7</v>
      </c>
      <c r="X70" s="3">
        <v>25.2</v>
      </c>
      <c r="Y70" s="2">
        <f t="shared" si="1"/>
        <v>58.400000000000006</v>
      </c>
      <c r="Z70" s="2">
        <f t="shared" si="2"/>
        <v>51.9</v>
      </c>
      <c r="AA70" s="2">
        <f t="shared" si="3"/>
        <v>1.1252408477842004</v>
      </c>
      <c r="AB70" s="3">
        <v>22</v>
      </c>
      <c r="AC70" s="3">
        <v>22</v>
      </c>
      <c r="AD70" s="3">
        <v>15</v>
      </c>
      <c r="AE70" s="3">
        <v>14</v>
      </c>
      <c r="AF70" s="3">
        <v>33.5</v>
      </c>
      <c r="AG70" s="2"/>
      <c r="AH70" s="2"/>
      <c r="AI70" s="2"/>
      <c r="AJ70" s="2"/>
      <c r="AK70" s="2"/>
      <c r="AL70" s="2"/>
      <c r="AM70" s="3">
        <v>49.4</v>
      </c>
      <c r="AN70" s="3">
        <v>2449</v>
      </c>
      <c r="AO70" s="3">
        <v>23620</v>
      </c>
      <c r="AP70" s="3">
        <v>3.14</v>
      </c>
      <c r="AQ70" s="2"/>
      <c r="AR70" s="2"/>
      <c r="AS70" s="2"/>
      <c r="AT70" s="2"/>
      <c r="AU70" s="2"/>
      <c r="AV70" s="2"/>
      <c r="AW70" s="2"/>
      <c r="AX70" s="2"/>
      <c r="AY70" s="2"/>
      <c r="AZ70" s="3">
        <v>6.46</v>
      </c>
      <c r="BA70" s="43">
        <v>9.5599343030000004</v>
      </c>
      <c r="BB70" s="2"/>
      <c r="BC70" s="2"/>
      <c r="BD70" s="3">
        <v>250</v>
      </c>
      <c r="BE70" s="2">
        <f t="shared" si="39"/>
        <v>3.125</v>
      </c>
      <c r="BF70" s="3">
        <v>228</v>
      </c>
      <c r="BG70" s="2">
        <f t="shared" si="25"/>
        <v>2.85</v>
      </c>
      <c r="BH70" s="3">
        <v>175</v>
      </c>
      <c r="BI70" s="2">
        <f t="shared" si="26"/>
        <v>2.1875</v>
      </c>
      <c r="BJ70" s="3">
        <v>180</v>
      </c>
      <c r="BK70" s="2">
        <f t="shared" si="27"/>
        <v>2.25</v>
      </c>
      <c r="BL70" s="3">
        <v>172</v>
      </c>
      <c r="BM70" s="2">
        <f t="shared" si="28"/>
        <v>2.15</v>
      </c>
      <c r="BN70" s="3">
        <v>180</v>
      </c>
      <c r="BO70" s="2">
        <f t="shared" si="29"/>
        <v>2.25</v>
      </c>
      <c r="BP70" s="3">
        <v>163</v>
      </c>
      <c r="BQ70" s="2">
        <f t="shared" si="30"/>
        <v>2.0375000000000001</v>
      </c>
      <c r="BR70" s="3">
        <v>146</v>
      </c>
      <c r="BS70" s="2">
        <f t="shared" si="31"/>
        <v>1.825</v>
      </c>
      <c r="BT70" s="3">
        <v>198</v>
      </c>
      <c r="BU70" s="2">
        <f t="shared" si="32"/>
        <v>2.4750000000000001</v>
      </c>
      <c r="BV70" s="3">
        <v>200</v>
      </c>
      <c r="BW70" s="2">
        <f t="shared" si="14"/>
        <v>2.5</v>
      </c>
      <c r="BX70" s="2">
        <f t="shared" si="15"/>
        <v>1.1314285714285715</v>
      </c>
      <c r="BY70" s="2">
        <f t="shared" si="16"/>
        <v>1.1111111111111112</v>
      </c>
      <c r="BZ70" s="2">
        <v>3.5</v>
      </c>
      <c r="CA70" s="2">
        <v>6.5</v>
      </c>
      <c r="CB70" s="2">
        <v>2</v>
      </c>
      <c r="CC70" s="2">
        <v>4.5</v>
      </c>
      <c r="CD70" s="2">
        <v>4</v>
      </c>
      <c r="CE70" s="2">
        <v>5</v>
      </c>
      <c r="CF70" s="2">
        <v>5</v>
      </c>
      <c r="CG70" s="2">
        <v>4</v>
      </c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15" t="e">
        <f t="shared" si="19"/>
        <v>#DIV/0!</v>
      </c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</row>
    <row r="71" spans="1:129" ht="14.25" customHeight="1">
      <c r="A71" s="38" t="s">
        <v>235</v>
      </c>
      <c r="B71" s="12">
        <v>46</v>
      </c>
      <c r="C71" s="12" t="s">
        <v>143</v>
      </c>
      <c r="D71" s="10" t="s">
        <v>150</v>
      </c>
      <c r="E71" s="12" t="s">
        <v>153</v>
      </c>
      <c r="F71" s="39"/>
      <c r="G71" s="12" t="s">
        <v>215</v>
      </c>
      <c r="H71" s="12"/>
      <c r="I71" s="3">
        <v>54</v>
      </c>
      <c r="J71" s="3">
        <v>168.5</v>
      </c>
      <c r="K71" s="2"/>
      <c r="L71" s="13">
        <v>46252</v>
      </c>
      <c r="M71" s="3" t="s">
        <v>147</v>
      </c>
      <c r="N71" s="3">
        <v>674</v>
      </c>
      <c r="O71" s="3">
        <v>22.6</v>
      </c>
      <c r="P71" s="3">
        <v>24.6</v>
      </c>
      <c r="Q71" s="3">
        <v>7.8</v>
      </c>
      <c r="R71" s="3">
        <v>7.2</v>
      </c>
      <c r="S71" s="3">
        <v>7.1</v>
      </c>
      <c r="T71" s="3">
        <v>8.1</v>
      </c>
      <c r="U71" s="3">
        <v>21.1</v>
      </c>
      <c r="V71" s="3">
        <v>26.8</v>
      </c>
      <c r="W71" s="3">
        <v>20.2</v>
      </c>
      <c r="X71" s="3">
        <v>17</v>
      </c>
      <c r="Y71" s="2">
        <f t="shared" si="1"/>
        <v>47.900000000000006</v>
      </c>
      <c r="Z71" s="2">
        <f t="shared" si="2"/>
        <v>37.200000000000003</v>
      </c>
      <c r="AA71" s="2">
        <f t="shared" si="3"/>
        <v>1.2876344086021505</v>
      </c>
      <c r="AB71" s="3">
        <v>14</v>
      </c>
      <c r="AC71" s="3">
        <v>19</v>
      </c>
      <c r="AD71" s="3">
        <v>10</v>
      </c>
      <c r="AE71" s="3">
        <v>11</v>
      </c>
      <c r="AF71" s="3">
        <v>28</v>
      </c>
      <c r="AG71" s="2"/>
      <c r="AH71" s="2"/>
      <c r="AI71" s="2"/>
      <c r="AJ71" s="2"/>
      <c r="AK71" s="2"/>
      <c r="AL71" s="2"/>
      <c r="AM71" s="3">
        <v>39</v>
      </c>
      <c r="AN71" s="3">
        <v>1672</v>
      </c>
      <c r="AO71" s="3">
        <v>10028</v>
      </c>
      <c r="AP71" s="3">
        <v>5.57</v>
      </c>
      <c r="AQ71" s="2"/>
      <c r="AR71" s="2"/>
      <c r="AS71" s="2"/>
      <c r="AT71" s="2"/>
      <c r="AU71" s="2"/>
      <c r="AV71" s="2"/>
      <c r="AW71" s="2"/>
      <c r="AX71" s="2"/>
      <c r="AY71" s="2"/>
      <c r="AZ71" s="3">
        <v>5.03</v>
      </c>
      <c r="BA71" s="43">
        <v>7.1228876699999999</v>
      </c>
      <c r="BB71" s="2"/>
      <c r="BC71" s="2"/>
      <c r="BD71" s="3">
        <v>153</v>
      </c>
      <c r="BE71" s="2">
        <f t="shared" si="39"/>
        <v>2.8333333333333335</v>
      </c>
      <c r="BF71" s="3">
        <v>225</v>
      </c>
      <c r="BG71" s="2">
        <f t="shared" si="25"/>
        <v>4.166666666666667</v>
      </c>
      <c r="BH71" s="3">
        <v>120</v>
      </c>
      <c r="BI71" s="2">
        <f t="shared" si="26"/>
        <v>2.2222222222222223</v>
      </c>
      <c r="BJ71" s="3">
        <v>132</v>
      </c>
      <c r="BK71" s="2">
        <f t="shared" si="27"/>
        <v>2.4444444444444446</v>
      </c>
      <c r="BL71" s="3">
        <v>88</v>
      </c>
      <c r="BM71" s="2">
        <f t="shared" si="28"/>
        <v>1.6296296296296295</v>
      </c>
      <c r="BN71" s="3">
        <v>103</v>
      </c>
      <c r="BO71" s="2">
        <f t="shared" si="29"/>
        <v>1.9074074074074074</v>
      </c>
      <c r="BP71" s="3">
        <v>96</v>
      </c>
      <c r="BQ71" s="2">
        <f t="shared" si="30"/>
        <v>1.7777777777777777</v>
      </c>
      <c r="BR71" s="3">
        <v>95</v>
      </c>
      <c r="BS71" s="2">
        <f t="shared" si="31"/>
        <v>1.7592592592592593</v>
      </c>
      <c r="BT71" s="3">
        <v>113</v>
      </c>
      <c r="BU71" s="2">
        <f t="shared" si="32"/>
        <v>2.0925925925925926</v>
      </c>
      <c r="BV71" s="3">
        <v>131</v>
      </c>
      <c r="BW71" s="2">
        <f t="shared" si="14"/>
        <v>2.425925925925926</v>
      </c>
      <c r="BX71" s="2">
        <f t="shared" si="15"/>
        <v>0.94166666666666665</v>
      </c>
      <c r="BY71" s="2">
        <f t="shared" si="16"/>
        <v>0.99242424242424243</v>
      </c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</row>
    <row r="72" spans="1:129" ht="14.25" customHeight="1">
      <c r="A72" s="38" t="s">
        <v>236</v>
      </c>
      <c r="B72" s="12"/>
      <c r="C72" s="12" t="s">
        <v>148</v>
      </c>
      <c r="D72" s="10" t="s">
        <v>167</v>
      </c>
      <c r="E72" s="12" t="s">
        <v>168</v>
      </c>
      <c r="F72" s="39"/>
      <c r="G72" s="12" t="s">
        <v>215</v>
      </c>
      <c r="H72" s="12"/>
      <c r="I72" s="3">
        <v>79</v>
      </c>
      <c r="J72" s="3">
        <v>190</v>
      </c>
      <c r="K72" s="2"/>
      <c r="L72" s="13">
        <v>46252</v>
      </c>
      <c r="M72" s="3" t="s">
        <v>147</v>
      </c>
      <c r="N72" s="3">
        <v>865</v>
      </c>
      <c r="O72" s="3">
        <v>36.299999999999997</v>
      </c>
      <c r="P72" s="3">
        <v>35.299999999999997</v>
      </c>
      <c r="Q72" s="3">
        <v>13.6</v>
      </c>
      <c r="R72" s="3">
        <v>11.3</v>
      </c>
      <c r="S72" s="3">
        <v>13.3</v>
      </c>
      <c r="T72" s="3">
        <v>11.7</v>
      </c>
      <c r="U72" s="3">
        <v>37.299999999999997</v>
      </c>
      <c r="V72" s="3">
        <v>33.700000000000003</v>
      </c>
      <c r="W72" s="3">
        <v>25.3</v>
      </c>
      <c r="X72" s="3">
        <v>28.4</v>
      </c>
      <c r="Y72" s="2">
        <f t="shared" si="1"/>
        <v>71</v>
      </c>
      <c r="Z72" s="2">
        <f t="shared" si="2"/>
        <v>53.7</v>
      </c>
      <c r="AA72" s="2">
        <f t="shared" si="3"/>
        <v>1.3221601489757913</v>
      </c>
      <c r="AB72" s="3">
        <v>13</v>
      </c>
      <c r="AC72" s="3">
        <v>13</v>
      </c>
      <c r="AD72" s="3">
        <v>15</v>
      </c>
      <c r="AE72" s="3">
        <v>11</v>
      </c>
      <c r="AF72" s="3">
        <v>43</v>
      </c>
      <c r="AG72" s="2"/>
      <c r="AH72" s="2"/>
      <c r="AI72" s="2"/>
      <c r="AJ72" s="2"/>
      <c r="AK72" s="2"/>
      <c r="AL72" s="2"/>
      <c r="AM72" s="3">
        <v>39.6</v>
      </c>
      <c r="AN72" s="3">
        <v>1825</v>
      </c>
      <c r="AO72" s="3">
        <v>7730</v>
      </c>
      <c r="AP72" s="3">
        <v>1.2</v>
      </c>
      <c r="AQ72" s="2"/>
      <c r="AR72" s="2"/>
      <c r="AS72" s="2"/>
      <c r="AT72" s="2"/>
      <c r="AU72" s="2"/>
      <c r="AV72" s="2"/>
      <c r="AW72" s="2"/>
      <c r="AX72" s="2"/>
      <c r="AY72" s="2"/>
      <c r="AZ72" s="3">
        <v>5.19</v>
      </c>
      <c r="BA72" s="43">
        <v>6.0626433390000001</v>
      </c>
      <c r="BB72" s="2"/>
      <c r="BC72" s="2"/>
      <c r="BD72" s="3">
        <v>263</v>
      </c>
      <c r="BE72" s="2">
        <f t="shared" si="39"/>
        <v>3.3291139240506329</v>
      </c>
      <c r="BF72" s="3">
        <v>267</v>
      </c>
      <c r="BG72" s="2">
        <f t="shared" si="25"/>
        <v>3.3797468354430378</v>
      </c>
      <c r="BH72" s="3">
        <v>173</v>
      </c>
      <c r="BI72" s="2">
        <f t="shared" si="26"/>
        <v>2.1898734177215191</v>
      </c>
      <c r="BJ72" s="3">
        <v>120</v>
      </c>
      <c r="BK72" s="2">
        <f t="shared" si="27"/>
        <v>1.518987341772152</v>
      </c>
      <c r="BL72" s="3">
        <v>138</v>
      </c>
      <c r="BM72" s="2">
        <f t="shared" si="28"/>
        <v>1.7468354430379747</v>
      </c>
      <c r="BN72" s="3">
        <v>157</v>
      </c>
      <c r="BO72" s="2">
        <f t="shared" si="29"/>
        <v>1.9873417721518987</v>
      </c>
      <c r="BP72" s="3">
        <v>131</v>
      </c>
      <c r="BQ72" s="2">
        <f t="shared" si="30"/>
        <v>1.6582278481012658</v>
      </c>
      <c r="BR72" s="3">
        <v>120</v>
      </c>
      <c r="BS72" s="2">
        <f t="shared" si="31"/>
        <v>1.518987341772152</v>
      </c>
      <c r="BT72" s="3">
        <v>122</v>
      </c>
      <c r="BU72" s="2">
        <f t="shared" si="32"/>
        <v>1.5443037974683544</v>
      </c>
      <c r="BV72" s="3">
        <v>169</v>
      </c>
      <c r="BW72" s="2">
        <f t="shared" si="14"/>
        <v>2.1392405063291138</v>
      </c>
      <c r="BX72" s="2">
        <f t="shared" si="15"/>
        <v>0.7052023121387283</v>
      </c>
      <c r="BY72" s="2">
        <f t="shared" si="16"/>
        <v>1.4083333333333334</v>
      </c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</row>
    <row r="73" spans="1:129" ht="14.25" customHeight="1">
      <c r="A73" s="38"/>
      <c r="B73" s="12"/>
      <c r="C73" s="12"/>
      <c r="D73" s="10"/>
      <c r="E73" s="12"/>
      <c r="F73" s="39"/>
      <c r="G73" s="12"/>
      <c r="H73" s="12"/>
      <c r="I73" s="3"/>
      <c r="J73" s="3"/>
      <c r="K73" s="2"/>
      <c r="L73" s="37"/>
      <c r="M73" s="2"/>
      <c r="N73" s="2"/>
      <c r="O73" s="2"/>
      <c r="P73" s="2"/>
      <c r="Q73" s="3"/>
      <c r="R73" s="3"/>
      <c r="S73" s="3"/>
      <c r="T73" s="3"/>
      <c r="U73" s="2"/>
      <c r="V73" s="2"/>
      <c r="W73" s="2"/>
      <c r="X73" s="2"/>
      <c r="Y73" s="2">
        <f t="shared" si="1"/>
        <v>0</v>
      </c>
      <c r="Z73" s="2">
        <f t="shared" si="2"/>
        <v>0</v>
      </c>
      <c r="AA73" s="2" t="e">
        <f t="shared" si="3"/>
        <v>#DIV/0!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>
        <f>BD73/$I$2</f>
        <v>0</v>
      </c>
      <c r="BF73" s="2"/>
      <c r="BG73" s="2"/>
      <c r="BH73" s="2"/>
      <c r="BI73" s="4" t="s">
        <v>73</v>
      </c>
      <c r="BJ73" s="2"/>
      <c r="BK73" s="2" t="e">
        <f t="shared" si="27"/>
        <v>#DIV/0!</v>
      </c>
      <c r="BL73" s="2"/>
      <c r="BM73" s="2" t="e">
        <f t="shared" si="28"/>
        <v>#DIV/0!</v>
      </c>
      <c r="BN73" s="2"/>
      <c r="BO73" s="2" t="e">
        <f t="shared" si="29"/>
        <v>#DIV/0!</v>
      </c>
      <c r="BP73" s="2"/>
      <c r="BQ73" s="2" t="e">
        <f t="shared" si="30"/>
        <v>#DIV/0!</v>
      </c>
      <c r="BR73" s="2"/>
      <c r="BS73" s="2" t="e">
        <f t="shared" si="31"/>
        <v>#DIV/0!</v>
      </c>
      <c r="BT73" s="2"/>
      <c r="BU73" s="2"/>
      <c r="BV73" s="2"/>
      <c r="BW73" s="2" t="e">
        <f t="shared" si="14"/>
        <v>#DIV/0!</v>
      </c>
      <c r="BX73" s="2" t="e">
        <f t="shared" si="15"/>
        <v>#DIV/0!</v>
      </c>
      <c r="BY73" s="2" t="e">
        <f t="shared" si="16"/>
        <v>#DIV/0!</v>
      </c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</row>
    <row r="74" spans="1:129" ht="14.25" customHeight="1">
      <c r="A74" s="38"/>
      <c r="B74" s="12"/>
      <c r="C74" s="12"/>
      <c r="D74" s="10"/>
      <c r="E74" s="12"/>
      <c r="F74" s="39"/>
      <c r="G74" s="12"/>
      <c r="H74" s="12"/>
      <c r="I74" s="3"/>
      <c r="J74" s="3"/>
      <c r="K74" s="2"/>
      <c r="L74" s="37"/>
      <c r="M74" s="2"/>
      <c r="N74" s="2"/>
      <c r="O74" s="2"/>
      <c r="P74" s="2"/>
      <c r="Q74" s="3"/>
      <c r="R74" s="3"/>
      <c r="S74" s="3"/>
      <c r="T74" s="3"/>
      <c r="U74" s="2"/>
      <c r="V74" s="2"/>
      <c r="W74" s="2"/>
      <c r="X74" s="2"/>
      <c r="Y74" s="2">
        <f t="shared" si="1"/>
        <v>0</v>
      </c>
      <c r="Z74" s="2">
        <f t="shared" si="2"/>
        <v>0</v>
      </c>
      <c r="AA74" s="2" t="e">
        <f t="shared" si="3"/>
        <v>#DIV/0!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 t="e">
        <f t="shared" ref="BE74:BE88" si="40">BD74/I74</f>
        <v>#DIV/0!</v>
      </c>
      <c r="BF74" s="2"/>
      <c r="BG74" s="2" t="e">
        <f t="shared" ref="BG74:BG89" si="41">BF74/I74</f>
        <v>#DIV/0!</v>
      </c>
      <c r="BH74" s="2"/>
      <c r="BI74" s="2" t="e">
        <f t="shared" ref="BI74:BI89" si="42">BH74/I74</f>
        <v>#DIV/0!</v>
      </c>
      <c r="BJ74" s="2"/>
      <c r="BK74" s="2" t="e">
        <f t="shared" si="27"/>
        <v>#DIV/0!</v>
      </c>
      <c r="BL74" s="2"/>
      <c r="BM74" s="2" t="e">
        <f t="shared" si="28"/>
        <v>#DIV/0!</v>
      </c>
      <c r="BN74" s="2"/>
      <c r="BO74" s="2" t="e">
        <f t="shared" si="29"/>
        <v>#DIV/0!</v>
      </c>
      <c r="BP74" s="2"/>
      <c r="BQ74" s="2" t="e">
        <f t="shared" si="30"/>
        <v>#DIV/0!</v>
      </c>
      <c r="BR74" s="2"/>
      <c r="BS74" s="2" t="e">
        <f t="shared" si="31"/>
        <v>#DIV/0!</v>
      </c>
      <c r="BT74" s="2"/>
      <c r="BU74" s="2" t="e">
        <f t="shared" ref="BU74:BU81" si="43">BT74/I74</f>
        <v>#DIV/0!</v>
      </c>
      <c r="BV74" s="2"/>
      <c r="BW74" s="2" t="e">
        <f t="shared" si="14"/>
        <v>#DIV/0!</v>
      </c>
      <c r="BX74" s="2" t="e">
        <f t="shared" si="15"/>
        <v>#DIV/0!</v>
      </c>
      <c r="BY74" s="2" t="e">
        <f t="shared" si="16"/>
        <v>#DIV/0!</v>
      </c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</row>
    <row r="75" spans="1:129" ht="14.25" customHeight="1">
      <c r="A75" s="9" t="s">
        <v>161</v>
      </c>
      <c r="B75" s="10">
        <v>48</v>
      </c>
      <c r="C75" s="10" t="s">
        <v>148</v>
      </c>
      <c r="D75" s="10" t="s">
        <v>150</v>
      </c>
      <c r="E75" s="10" t="s">
        <v>153</v>
      </c>
      <c r="F75" s="21">
        <v>39832</v>
      </c>
      <c r="G75" s="12" t="s">
        <v>146</v>
      </c>
      <c r="H75" s="10">
        <v>17</v>
      </c>
      <c r="I75" s="3">
        <v>63.7</v>
      </c>
      <c r="J75" s="3">
        <v>167</v>
      </c>
      <c r="K75" s="2"/>
      <c r="L75" s="37">
        <v>46214</v>
      </c>
      <c r="M75" s="3" t="s">
        <v>237</v>
      </c>
      <c r="N75" s="2"/>
      <c r="O75" s="2"/>
      <c r="P75" s="2"/>
      <c r="Q75" s="3">
        <v>11</v>
      </c>
      <c r="R75" s="3">
        <v>7.9</v>
      </c>
      <c r="S75" s="3">
        <v>9.1</v>
      </c>
      <c r="T75" s="3">
        <v>7.2</v>
      </c>
      <c r="U75" s="2"/>
      <c r="V75" s="2"/>
      <c r="W75" s="2"/>
      <c r="X75" s="2"/>
      <c r="Y75" s="2">
        <f t="shared" si="1"/>
        <v>0</v>
      </c>
      <c r="Z75" s="2">
        <f t="shared" si="2"/>
        <v>0</v>
      </c>
      <c r="AA75" s="2" t="e">
        <f t="shared" si="3"/>
        <v>#DIV/0!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>
        <f t="shared" si="40"/>
        <v>0</v>
      </c>
      <c r="BF75" s="2"/>
      <c r="BG75" s="2">
        <f t="shared" si="41"/>
        <v>0</v>
      </c>
      <c r="BH75" s="2"/>
      <c r="BI75" s="2">
        <f t="shared" si="42"/>
        <v>0</v>
      </c>
      <c r="BJ75" s="2"/>
      <c r="BK75" s="2">
        <f t="shared" si="27"/>
        <v>0</v>
      </c>
      <c r="BL75" s="2"/>
      <c r="BM75" s="2">
        <f t="shared" si="28"/>
        <v>0</v>
      </c>
      <c r="BN75" s="2"/>
      <c r="BO75" s="2">
        <f t="shared" si="29"/>
        <v>0</v>
      </c>
      <c r="BP75" s="2"/>
      <c r="BQ75" s="2">
        <f t="shared" si="30"/>
        <v>0</v>
      </c>
      <c r="BR75" s="2"/>
      <c r="BS75" s="2">
        <f t="shared" si="31"/>
        <v>0</v>
      </c>
      <c r="BT75" s="2"/>
      <c r="BU75" s="2">
        <f t="shared" si="43"/>
        <v>0</v>
      </c>
      <c r="BV75" s="2"/>
      <c r="BW75" s="2">
        <f t="shared" si="14"/>
        <v>0</v>
      </c>
      <c r="BX75" s="2" t="e">
        <f t="shared" si="15"/>
        <v>#DIV/0!</v>
      </c>
      <c r="BY75" s="2" t="e">
        <f t="shared" si="16"/>
        <v>#DIV/0!</v>
      </c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</row>
    <row r="76" spans="1:129" ht="14.25" customHeight="1">
      <c r="A76" s="9" t="s">
        <v>187</v>
      </c>
      <c r="B76" s="10">
        <v>87</v>
      </c>
      <c r="C76" s="16" t="s">
        <v>148</v>
      </c>
      <c r="D76" s="16" t="s">
        <v>159</v>
      </c>
      <c r="E76" s="16" t="s">
        <v>160</v>
      </c>
      <c r="F76" s="27">
        <v>39041</v>
      </c>
      <c r="G76" s="18" t="s">
        <v>146</v>
      </c>
      <c r="H76" s="19">
        <v>19</v>
      </c>
      <c r="I76" s="2"/>
      <c r="J76" s="2"/>
      <c r="K76" s="2"/>
      <c r="L76" s="2"/>
      <c r="M76" s="3" t="s">
        <v>237</v>
      </c>
      <c r="N76" s="2"/>
      <c r="O76" s="2"/>
      <c r="P76" s="2"/>
      <c r="Q76" s="3">
        <v>9</v>
      </c>
      <c r="R76" s="3">
        <v>6.8</v>
      </c>
      <c r="S76" s="3">
        <v>10.6</v>
      </c>
      <c r="T76" s="3">
        <v>6.4</v>
      </c>
      <c r="U76" s="2"/>
      <c r="V76" s="2"/>
      <c r="W76" s="2"/>
      <c r="X76" s="2"/>
      <c r="Y76" s="2">
        <f t="shared" si="1"/>
        <v>0</v>
      </c>
      <c r="Z76" s="2">
        <f t="shared" si="2"/>
        <v>0</v>
      </c>
      <c r="AA76" s="2" t="e">
        <f t="shared" si="3"/>
        <v>#DIV/0!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 t="e">
        <f t="shared" si="40"/>
        <v>#DIV/0!</v>
      </c>
      <c r="BF76" s="2"/>
      <c r="BG76" s="2" t="e">
        <f t="shared" si="41"/>
        <v>#DIV/0!</v>
      </c>
      <c r="BH76" s="2"/>
      <c r="BI76" s="2" t="e">
        <f t="shared" si="42"/>
        <v>#DIV/0!</v>
      </c>
      <c r="BJ76" s="2"/>
      <c r="BK76" s="2" t="e">
        <f t="shared" si="27"/>
        <v>#DIV/0!</v>
      </c>
      <c r="BL76" s="2"/>
      <c r="BM76" s="2" t="e">
        <f t="shared" si="28"/>
        <v>#DIV/0!</v>
      </c>
      <c r="BN76" s="2"/>
      <c r="BO76" s="2" t="e">
        <f t="shared" si="29"/>
        <v>#DIV/0!</v>
      </c>
      <c r="BP76" s="2"/>
      <c r="BQ76" s="2" t="e">
        <f t="shared" si="30"/>
        <v>#DIV/0!</v>
      </c>
      <c r="BR76" s="2"/>
      <c r="BS76" s="2" t="e">
        <f t="shared" si="31"/>
        <v>#DIV/0!</v>
      </c>
      <c r="BT76" s="2"/>
      <c r="BU76" s="2" t="e">
        <f t="shared" si="43"/>
        <v>#DIV/0!</v>
      </c>
      <c r="BV76" s="2"/>
      <c r="BW76" s="2" t="e">
        <f t="shared" si="14"/>
        <v>#DIV/0!</v>
      </c>
      <c r="BX76" s="2" t="e">
        <f t="shared" si="15"/>
        <v>#DIV/0!</v>
      </c>
      <c r="BY76" s="2" t="e">
        <f t="shared" si="16"/>
        <v>#DIV/0!</v>
      </c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</row>
    <row r="77" spans="1:129" ht="14.25" customHeight="1">
      <c r="A77" s="9" t="s">
        <v>180</v>
      </c>
      <c r="B77" s="10">
        <v>30</v>
      </c>
      <c r="C77" s="10" t="s">
        <v>148</v>
      </c>
      <c r="D77" s="10" t="s">
        <v>159</v>
      </c>
      <c r="E77" s="10" t="s">
        <v>173</v>
      </c>
      <c r="F77" s="21">
        <v>37888</v>
      </c>
      <c r="G77" s="12" t="s">
        <v>146</v>
      </c>
      <c r="H77" s="9">
        <v>22</v>
      </c>
      <c r="I77" s="2"/>
      <c r="J77" s="2"/>
      <c r="K77" s="2"/>
      <c r="L77" s="2"/>
      <c r="M77" s="3" t="s">
        <v>237</v>
      </c>
      <c r="N77" s="2"/>
      <c r="O77" s="3">
        <v>40.299999999999997</v>
      </c>
      <c r="P77" s="3">
        <v>31.9</v>
      </c>
      <c r="Q77" s="2"/>
      <c r="R77" s="2"/>
      <c r="S77" s="2"/>
      <c r="T77" s="2"/>
      <c r="U77" s="2"/>
      <c r="V77" s="2"/>
      <c r="W77" s="2"/>
      <c r="X77" s="2"/>
      <c r="Y77" s="2">
        <f t="shared" si="1"/>
        <v>0</v>
      </c>
      <c r="Z77" s="2">
        <f t="shared" si="2"/>
        <v>0</v>
      </c>
      <c r="AA77" s="2" t="e">
        <f t="shared" si="3"/>
        <v>#DIV/0!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 t="e">
        <f t="shared" si="40"/>
        <v>#DIV/0!</v>
      </c>
      <c r="BF77" s="2"/>
      <c r="BG77" s="2" t="e">
        <f t="shared" si="41"/>
        <v>#DIV/0!</v>
      </c>
      <c r="BH77" s="2"/>
      <c r="BI77" s="2" t="e">
        <f t="shared" si="42"/>
        <v>#DIV/0!</v>
      </c>
      <c r="BJ77" s="2"/>
      <c r="BK77" s="2" t="e">
        <f t="shared" si="27"/>
        <v>#DIV/0!</v>
      </c>
      <c r="BL77" s="2"/>
      <c r="BM77" s="2" t="e">
        <f t="shared" si="28"/>
        <v>#DIV/0!</v>
      </c>
      <c r="BN77" s="2"/>
      <c r="BO77" s="2" t="e">
        <f t="shared" si="29"/>
        <v>#DIV/0!</v>
      </c>
      <c r="BP77" s="2"/>
      <c r="BQ77" s="2" t="e">
        <f t="shared" si="30"/>
        <v>#DIV/0!</v>
      </c>
      <c r="BR77" s="2"/>
      <c r="BS77" s="2" t="e">
        <f t="shared" si="31"/>
        <v>#DIV/0!</v>
      </c>
      <c r="BT77" s="2"/>
      <c r="BU77" s="2" t="e">
        <f t="shared" si="43"/>
        <v>#DIV/0!</v>
      </c>
      <c r="BV77" s="2"/>
      <c r="BW77" s="2" t="e">
        <f t="shared" si="14"/>
        <v>#DIV/0!</v>
      </c>
      <c r="BX77" s="2" t="e">
        <f t="shared" si="15"/>
        <v>#DIV/0!</v>
      </c>
      <c r="BY77" s="2" t="e">
        <f t="shared" si="16"/>
        <v>#DIV/0!</v>
      </c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</row>
    <row r="78" spans="1:129" ht="14.25" customHeight="1">
      <c r="A78" s="3" t="s">
        <v>172</v>
      </c>
      <c r="B78" s="2">
        <f t="shared" ref="B78:K78" si="44">IF($A78="", "", VLOOKUP($A78, $A$2:$BY$77, COLUMN(B$1), FALSE))</f>
        <v>6</v>
      </c>
      <c r="C78" s="2" t="str">
        <f t="shared" si="44"/>
        <v>G</v>
      </c>
      <c r="D78" s="2" t="str">
        <f t="shared" si="44"/>
        <v>Milieu</v>
      </c>
      <c r="E78" s="2" t="str">
        <f t="shared" si="44"/>
        <v>MC</v>
      </c>
      <c r="F78" s="40">
        <f t="shared" si="44"/>
        <v>36637</v>
      </c>
      <c r="G78" s="2" t="str">
        <f t="shared" si="44"/>
        <v>PRO</v>
      </c>
      <c r="H78" s="2">
        <f t="shared" si="44"/>
        <v>26</v>
      </c>
      <c r="I78" s="2">
        <f t="shared" si="44"/>
        <v>66.599999999999994</v>
      </c>
      <c r="J78" s="2">
        <f t="shared" si="44"/>
        <v>173</v>
      </c>
      <c r="K78" s="2">
        <f t="shared" si="44"/>
        <v>44</v>
      </c>
      <c r="L78" s="13">
        <v>46234</v>
      </c>
      <c r="M78" s="3" t="s">
        <v>237</v>
      </c>
      <c r="N78" s="2"/>
      <c r="O78" s="2"/>
      <c r="P78" s="2"/>
      <c r="Q78" s="2"/>
      <c r="R78" s="2"/>
      <c r="S78" s="2"/>
      <c r="T78" s="2"/>
      <c r="U78" s="3">
        <v>29.7</v>
      </c>
      <c r="V78" s="3">
        <v>27</v>
      </c>
      <c r="W78" s="2"/>
      <c r="X78" s="2"/>
      <c r="Y78" s="2">
        <f t="shared" si="1"/>
        <v>56.7</v>
      </c>
      <c r="Z78" s="2">
        <f t="shared" si="2"/>
        <v>0</v>
      </c>
      <c r="AA78" s="2" t="e">
        <f t="shared" si="3"/>
        <v>#DIV/0!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 t="s">
        <v>238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>
        <f t="shared" si="40"/>
        <v>0</v>
      </c>
      <c r="BF78" s="2"/>
      <c r="BG78" s="2">
        <f t="shared" si="41"/>
        <v>0</v>
      </c>
      <c r="BH78" s="2"/>
      <c r="BI78" s="2">
        <f t="shared" si="42"/>
        <v>0</v>
      </c>
      <c r="BJ78" s="2"/>
      <c r="BK78" s="2">
        <f t="shared" si="27"/>
        <v>0</v>
      </c>
      <c r="BL78" s="2"/>
      <c r="BM78" s="2">
        <f t="shared" si="28"/>
        <v>0</v>
      </c>
      <c r="BN78" s="2"/>
      <c r="BO78" s="2">
        <f t="shared" si="29"/>
        <v>0</v>
      </c>
      <c r="BP78" s="2"/>
      <c r="BQ78" s="2">
        <f t="shared" si="30"/>
        <v>0</v>
      </c>
      <c r="BR78" s="2"/>
      <c r="BS78" s="2">
        <f t="shared" si="31"/>
        <v>0</v>
      </c>
      <c r="BT78" s="2"/>
      <c r="BU78" s="2">
        <f t="shared" si="43"/>
        <v>0</v>
      </c>
      <c r="BV78" s="2"/>
      <c r="BW78" s="2">
        <f t="shared" si="14"/>
        <v>0</v>
      </c>
      <c r="BX78" s="2" t="e">
        <f t="shared" si="15"/>
        <v>#DIV/0!</v>
      </c>
      <c r="BY78" s="2" t="e">
        <f t="shared" si="16"/>
        <v>#DIV/0!</v>
      </c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</row>
    <row r="79" spans="1:129" ht="14.25" customHeight="1">
      <c r="A79" s="3" t="s">
        <v>154</v>
      </c>
      <c r="B79" s="2">
        <f t="shared" ref="B79:K79" si="45">IF($A79="", "", VLOOKUP($A79, $A$2:$BY$77, COLUMN(B$1), FALSE))</f>
        <v>26</v>
      </c>
      <c r="C79" s="2" t="str">
        <f t="shared" si="45"/>
        <v>G</v>
      </c>
      <c r="D79" s="2" t="str">
        <f t="shared" si="45"/>
        <v>Défenseur</v>
      </c>
      <c r="E79" s="2" t="str">
        <f t="shared" si="45"/>
        <v>DL</v>
      </c>
      <c r="F79" s="40">
        <f t="shared" si="45"/>
        <v>39213</v>
      </c>
      <c r="G79" s="2" t="str">
        <f t="shared" si="45"/>
        <v>PRO</v>
      </c>
      <c r="H79" s="2">
        <f t="shared" si="45"/>
        <v>19</v>
      </c>
      <c r="I79" s="2">
        <f t="shared" si="45"/>
        <v>71.599999999999994</v>
      </c>
      <c r="J79" s="2">
        <f t="shared" si="45"/>
        <v>179.6</v>
      </c>
      <c r="K79" s="2">
        <f t="shared" si="45"/>
        <v>32</v>
      </c>
      <c r="L79" s="13">
        <v>46244</v>
      </c>
      <c r="M79" s="3" t="s">
        <v>237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>
        <f t="shared" si="1"/>
        <v>0</v>
      </c>
      <c r="Z79" s="2">
        <f t="shared" si="2"/>
        <v>0</v>
      </c>
      <c r="AA79" s="2" t="e">
        <f t="shared" si="3"/>
        <v>#DIV/0!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3">
        <v>6639</v>
      </c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>
        <f t="shared" si="40"/>
        <v>0</v>
      </c>
      <c r="BF79" s="2"/>
      <c r="BG79" s="2">
        <f t="shared" si="41"/>
        <v>0</v>
      </c>
      <c r="BH79" s="2"/>
      <c r="BI79" s="2">
        <f t="shared" si="42"/>
        <v>0</v>
      </c>
      <c r="BJ79" s="2"/>
      <c r="BK79" s="2">
        <f t="shared" si="27"/>
        <v>0</v>
      </c>
      <c r="BL79" s="2"/>
      <c r="BM79" s="2">
        <f t="shared" si="28"/>
        <v>0</v>
      </c>
      <c r="BN79" s="2"/>
      <c r="BO79" s="2">
        <f t="shared" si="29"/>
        <v>0</v>
      </c>
      <c r="BP79" s="2"/>
      <c r="BQ79" s="2">
        <f t="shared" si="30"/>
        <v>0</v>
      </c>
      <c r="BR79" s="2"/>
      <c r="BS79" s="2">
        <f t="shared" si="31"/>
        <v>0</v>
      </c>
      <c r="BT79" s="2"/>
      <c r="BU79" s="2">
        <f t="shared" si="43"/>
        <v>0</v>
      </c>
      <c r="BV79" s="2"/>
      <c r="BW79" s="2">
        <f t="shared" si="14"/>
        <v>0</v>
      </c>
      <c r="BX79" s="2" t="e">
        <f t="shared" si="15"/>
        <v>#DIV/0!</v>
      </c>
      <c r="BY79" s="2" t="e">
        <f t="shared" si="16"/>
        <v>#DIV/0!</v>
      </c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</row>
    <row r="80" spans="1:129" ht="14.25" customHeight="1">
      <c r="A80" s="3" t="s">
        <v>180</v>
      </c>
      <c r="B80" s="2">
        <f t="shared" ref="B80:K80" si="46">IF($A80="", "", VLOOKUP($A80, $A$2:$BY$77, COLUMN(B$1), FALSE))</f>
        <v>30</v>
      </c>
      <c r="C80" s="2" t="str">
        <f t="shared" si="46"/>
        <v>D</v>
      </c>
      <c r="D80" s="2" t="str">
        <f t="shared" si="46"/>
        <v>Milieu</v>
      </c>
      <c r="E80" s="2" t="str">
        <f t="shared" si="46"/>
        <v>MC</v>
      </c>
      <c r="F80" s="40">
        <f t="shared" si="46"/>
        <v>37888</v>
      </c>
      <c r="G80" s="2" t="str">
        <f t="shared" si="46"/>
        <v>PRO</v>
      </c>
      <c r="H80" s="2">
        <f t="shared" si="46"/>
        <v>22</v>
      </c>
      <c r="I80" s="2">
        <f t="shared" si="46"/>
        <v>80.7</v>
      </c>
      <c r="J80" s="2">
        <f t="shared" si="46"/>
        <v>186.5</v>
      </c>
      <c r="K80" s="2">
        <f t="shared" si="46"/>
        <v>54.5</v>
      </c>
      <c r="L80" s="33">
        <v>46244</v>
      </c>
      <c r="M80" s="3" t="s">
        <v>237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>
        <f t="shared" si="1"/>
        <v>0</v>
      </c>
      <c r="Z80" s="2">
        <f t="shared" si="2"/>
        <v>0</v>
      </c>
      <c r="AA80" s="2" t="e">
        <f t="shared" si="3"/>
        <v>#DIV/0!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3">
        <v>4916</v>
      </c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>
        <f t="shared" si="40"/>
        <v>0</v>
      </c>
      <c r="BF80" s="2"/>
      <c r="BG80" s="2">
        <f t="shared" si="41"/>
        <v>0</v>
      </c>
      <c r="BH80" s="2"/>
      <c r="BI80" s="2">
        <f t="shared" si="42"/>
        <v>0</v>
      </c>
      <c r="BJ80" s="2"/>
      <c r="BK80" s="2">
        <f t="shared" si="27"/>
        <v>0</v>
      </c>
      <c r="BL80" s="2"/>
      <c r="BM80" s="2">
        <f t="shared" si="28"/>
        <v>0</v>
      </c>
      <c r="BN80" s="2"/>
      <c r="BO80" s="2">
        <f t="shared" si="29"/>
        <v>0</v>
      </c>
      <c r="BP80" s="2"/>
      <c r="BQ80" s="2">
        <f t="shared" si="30"/>
        <v>0</v>
      </c>
      <c r="BR80" s="2"/>
      <c r="BS80" s="2">
        <f t="shared" si="31"/>
        <v>0</v>
      </c>
      <c r="BT80" s="2"/>
      <c r="BU80" s="2">
        <f t="shared" si="43"/>
        <v>0</v>
      </c>
      <c r="BV80" s="2"/>
      <c r="BW80" s="2">
        <f t="shared" si="14"/>
        <v>0</v>
      </c>
      <c r="BX80" s="2" t="e">
        <f t="shared" si="15"/>
        <v>#DIV/0!</v>
      </c>
      <c r="BY80" s="2" t="e">
        <f t="shared" si="16"/>
        <v>#DIV/0!</v>
      </c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</row>
    <row r="81" spans="1:129" ht="14.25" customHeight="1">
      <c r="A81" s="3" t="s">
        <v>177</v>
      </c>
      <c r="B81" s="2">
        <f t="shared" ref="B81:K81" si="47">IF($A81="", "", VLOOKUP($A81, $A$2:$BY$77, COLUMN(B$1), FALSE))</f>
        <v>2</v>
      </c>
      <c r="C81" s="2" t="str">
        <f t="shared" si="47"/>
        <v>D</v>
      </c>
      <c r="D81" s="2" t="str">
        <f t="shared" si="47"/>
        <v>Défenseur</v>
      </c>
      <c r="E81" s="2" t="str">
        <f t="shared" si="47"/>
        <v>DC</v>
      </c>
      <c r="F81" s="40">
        <f t="shared" si="47"/>
        <v>35576</v>
      </c>
      <c r="G81" s="2" t="str">
        <f t="shared" si="47"/>
        <v>PRO</v>
      </c>
      <c r="H81" s="2">
        <f t="shared" si="47"/>
        <v>29</v>
      </c>
      <c r="I81" s="2">
        <f t="shared" si="47"/>
        <v>86.1</v>
      </c>
      <c r="J81" s="2">
        <f t="shared" si="47"/>
        <v>189.1</v>
      </c>
      <c r="K81" s="2">
        <f t="shared" si="47"/>
        <v>50</v>
      </c>
      <c r="L81" s="33">
        <v>46244</v>
      </c>
      <c r="M81" s="3" t="s">
        <v>237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>
        <f t="shared" si="1"/>
        <v>0</v>
      </c>
      <c r="Z81" s="2">
        <f t="shared" si="2"/>
        <v>0</v>
      </c>
      <c r="AA81" s="2" t="e">
        <f t="shared" si="3"/>
        <v>#DIV/0!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3">
        <v>3457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>
        <f t="shared" si="40"/>
        <v>0</v>
      </c>
      <c r="BF81" s="2"/>
      <c r="BG81" s="2">
        <f t="shared" si="41"/>
        <v>0</v>
      </c>
      <c r="BH81" s="2"/>
      <c r="BI81" s="2">
        <f t="shared" si="42"/>
        <v>0</v>
      </c>
      <c r="BJ81" s="2"/>
      <c r="BK81" s="2">
        <f t="shared" si="27"/>
        <v>0</v>
      </c>
      <c r="BL81" s="2"/>
      <c r="BM81" s="2">
        <f t="shared" si="28"/>
        <v>0</v>
      </c>
      <c r="BN81" s="2"/>
      <c r="BO81" s="2">
        <f t="shared" si="29"/>
        <v>0</v>
      </c>
      <c r="BP81" s="2"/>
      <c r="BQ81" s="2">
        <f t="shared" si="30"/>
        <v>0</v>
      </c>
      <c r="BR81" s="2"/>
      <c r="BS81" s="2">
        <f t="shared" si="31"/>
        <v>0</v>
      </c>
      <c r="BT81" s="2"/>
      <c r="BU81" s="2">
        <f t="shared" si="43"/>
        <v>0</v>
      </c>
      <c r="BV81" s="2"/>
      <c r="BW81" s="2">
        <f t="shared" si="14"/>
        <v>0</v>
      </c>
      <c r="BX81" s="2" t="e">
        <f t="shared" si="15"/>
        <v>#DIV/0!</v>
      </c>
      <c r="BY81" s="2" t="e">
        <f t="shared" si="16"/>
        <v>#DIV/0!</v>
      </c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</row>
    <row r="82" spans="1:129" ht="14.25" customHeight="1">
      <c r="A82" s="3" t="s">
        <v>177</v>
      </c>
      <c r="B82" s="2">
        <f t="shared" ref="B82:K82" si="48">IF($A82="", "", VLOOKUP($A82, $A$2:$BY$77, COLUMN(B$1), FALSE))</f>
        <v>2</v>
      </c>
      <c r="C82" s="2" t="str">
        <f t="shared" si="48"/>
        <v>D</v>
      </c>
      <c r="D82" s="2" t="str">
        <f t="shared" si="48"/>
        <v>Défenseur</v>
      </c>
      <c r="E82" s="2" t="str">
        <f t="shared" si="48"/>
        <v>DC</v>
      </c>
      <c r="F82" s="40">
        <f t="shared" si="48"/>
        <v>35576</v>
      </c>
      <c r="G82" s="2" t="str">
        <f t="shared" si="48"/>
        <v>PRO</v>
      </c>
      <c r="H82" s="2">
        <f t="shared" si="48"/>
        <v>29</v>
      </c>
      <c r="I82" s="2">
        <f t="shared" si="48"/>
        <v>86.1</v>
      </c>
      <c r="J82" s="2">
        <f t="shared" si="48"/>
        <v>189.1</v>
      </c>
      <c r="K82" s="2">
        <f t="shared" si="48"/>
        <v>50</v>
      </c>
      <c r="L82" s="13">
        <v>46246</v>
      </c>
      <c r="M82" s="3" t="s">
        <v>237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>
        <f t="shared" si="1"/>
        <v>0</v>
      </c>
      <c r="Z82" s="2">
        <f t="shared" si="2"/>
        <v>0</v>
      </c>
      <c r="AA82" s="2" t="e">
        <f t="shared" si="3"/>
        <v>#DIV/0!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3">
        <v>5126</v>
      </c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>
        <f t="shared" si="40"/>
        <v>0</v>
      </c>
      <c r="BF82" s="2"/>
      <c r="BG82" s="2">
        <f t="shared" si="41"/>
        <v>0</v>
      </c>
      <c r="BH82" s="2"/>
      <c r="BI82" s="2">
        <f t="shared" si="42"/>
        <v>0</v>
      </c>
      <c r="BJ82" s="2"/>
      <c r="BK82" s="2">
        <f t="shared" si="27"/>
        <v>0</v>
      </c>
      <c r="BL82" s="2"/>
      <c r="BM82" s="2">
        <f t="shared" si="28"/>
        <v>0</v>
      </c>
      <c r="BN82" s="2"/>
      <c r="BO82" s="2">
        <f t="shared" si="29"/>
        <v>0</v>
      </c>
      <c r="BP82" s="2"/>
      <c r="BQ82" s="2">
        <f t="shared" si="30"/>
        <v>0</v>
      </c>
      <c r="BR82" s="2"/>
      <c r="BS82" s="2">
        <f t="shared" si="31"/>
        <v>0</v>
      </c>
      <c r="BT82" s="2"/>
      <c r="BU82" s="2"/>
      <c r="BV82" s="2"/>
      <c r="BW82" s="2">
        <f t="shared" si="14"/>
        <v>0</v>
      </c>
      <c r="BX82" s="2" t="e">
        <f t="shared" si="15"/>
        <v>#DIV/0!</v>
      </c>
      <c r="BY82" s="2" t="e">
        <f t="shared" si="16"/>
        <v>#DIV/0!</v>
      </c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</row>
    <row r="83" spans="1:129" ht="14.25" customHeight="1">
      <c r="A83" s="3" t="s">
        <v>180</v>
      </c>
      <c r="B83" s="2">
        <f t="shared" ref="B83:K83" si="49">IF($A83="", "", VLOOKUP($A83, $A$2:$BY$77, COLUMN(B$1), FALSE))</f>
        <v>30</v>
      </c>
      <c r="C83" s="2" t="str">
        <f t="shared" si="49"/>
        <v>D</v>
      </c>
      <c r="D83" s="2" t="str">
        <f t="shared" si="49"/>
        <v>Milieu</v>
      </c>
      <c r="E83" s="2" t="str">
        <f t="shared" si="49"/>
        <v>MC</v>
      </c>
      <c r="F83" s="40">
        <f t="shared" si="49"/>
        <v>37888</v>
      </c>
      <c r="G83" s="2" t="str">
        <f t="shared" si="49"/>
        <v>PRO</v>
      </c>
      <c r="H83" s="2">
        <f t="shared" si="49"/>
        <v>22</v>
      </c>
      <c r="I83" s="2">
        <f t="shared" si="49"/>
        <v>80.7</v>
      </c>
      <c r="J83" s="2">
        <f t="shared" si="49"/>
        <v>186.5</v>
      </c>
      <c r="K83" s="2">
        <f t="shared" si="49"/>
        <v>54.5</v>
      </c>
      <c r="L83" s="13">
        <v>46246</v>
      </c>
      <c r="M83" s="3" t="s">
        <v>237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>
        <f t="shared" si="1"/>
        <v>0</v>
      </c>
      <c r="Z83" s="2">
        <f t="shared" si="2"/>
        <v>0</v>
      </c>
      <c r="AA83" s="2" t="e">
        <f t="shared" si="3"/>
        <v>#DIV/0!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3">
        <v>6940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>
        <f t="shared" si="40"/>
        <v>0</v>
      </c>
      <c r="BF83" s="2"/>
      <c r="BG83" s="2">
        <f t="shared" si="41"/>
        <v>0</v>
      </c>
      <c r="BH83" s="2"/>
      <c r="BI83" s="2">
        <f t="shared" si="42"/>
        <v>0</v>
      </c>
      <c r="BJ83" s="2"/>
      <c r="BK83" s="2">
        <f t="shared" si="27"/>
        <v>0</v>
      </c>
      <c r="BL83" s="2"/>
      <c r="BM83" s="2">
        <f t="shared" si="28"/>
        <v>0</v>
      </c>
      <c r="BN83" s="2"/>
      <c r="BO83" s="2">
        <f t="shared" si="29"/>
        <v>0</v>
      </c>
      <c r="BP83" s="2"/>
      <c r="BQ83" s="2">
        <f t="shared" si="30"/>
        <v>0</v>
      </c>
      <c r="BR83" s="2"/>
      <c r="BS83" s="2">
        <f t="shared" si="31"/>
        <v>0</v>
      </c>
      <c r="BT83" s="2"/>
      <c r="BU83" s="2">
        <f t="shared" ref="BU83:BU90" si="50">BT83/I83</f>
        <v>0</v>
      </c>
      <c r="BV83" s="2"/>
      <c r="BW83" s="2">
        <f t="shared" si="14"/>
        <v>0</v>
      </c>
      <c r="BX83" s="2" t="e">
        <f t="shared" si="15"/>
        <v>#DIV/0!</v>
      </c>
      <c r="BY83" s="2" t="e">
        <f t="shared" si="16"/>
        <v>#DIV/0!</v>
      </c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</row>
    <row r="84" spans="1:129" ht="14.25" customHeight="1">
      <c r="A84" s="3" t="s">
        <v>180</v>
      </c>
      <c r="B84" s="2">
        <f t="shared" ref="B84:K84" si="51">IF($A84="", "", VLOOKUP($A84, $A$2:$BY$77, COLUMN(B$1), FALSE))</f>
        <v>30</v>
      </c>
      <c r="C84" s="2" t="str">
        <f t="shared" si="51"/>
        <v>D</v>
      </c>
      <c r="D84" s="2" t="str">
        <f t="shared" si="51"/>
        <v>Milieu</v>
      </c>
      <c r="E84" s="2" t="str">
        <f t="shared" si="51"/>
        <v>MC</v>
      </c>
      <c r="F84" s="40">
        <f t="shared" si="51"/>
        <v>37888</v>
      </c>
      <c r="G84" s="2" t="str">
        <f t="shared" si="51"/>
        <v>PRO</v>
      </c>
      <c r="H84" s="2">
        <f t="shared" si="51"/>
        <v>22</v>
      </c>
      <c r="I84" s="2">
        <f t="shared" si="51"/>
        <v>80.7</v>
      </c>
      <c r="J84" s="2">
        <f t="shared" si="51"/>
        <v>186.5</v>
      </c>
      <c r="K84" s="2">
        <f t="shared" si="51"/>
        <v>54.5</v>
      </c>
      <c r="L84" s="13">
        <v>46248</v>
      </c>
      <c r="M84" s="3" t="s">
        <v>237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>
        <f t="shared" si="1"/>
        <v>0</v>
      </c>
      <c r="Z84" s="2">
        <f t="shared" si="2"/>
        <v>0</v>
      </c>
      <c r="AA84" s="2" t="e">
        <f t="shared" si="3"/>
        <v>#DIV/0!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3">
        <v>6634</v>
      </c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>
        <f t="shared" si="40"/>
        <v>0</v>
      </c>
      <c r="BF84" s="2"/>
      <c r="BG84" s="2">
        <f t="shared" si="41"/>
        <v>0</v>
      </c>
      <c r="BH84" s="2"/>
      <c r="BI84" s="2">
        <f t="shared" si="42"/>
        <v>0</v>
      </c>
      <c r="BJ84" s="2"/>
      <c r="BK84" s="2"/>
      <c r="BL84" s="2"/>
      <c r="BM84" s="2">
        <f t="shared" si="28"/>
        <v>0</v>
      </c>
      <c r="BN84" s="2"/>
      <c r="BO84" s="2">
        <f t="shared" si="29"/>
        <v>0</v>
      </c>
      <c r="BP84" s="2"/>
      <c r="BQ84" s="2">
        <f t="shared" si="30"/>
        <v>0</v>
      </c>
      <c r="BR84" s="2"/>
      <c r="BS84" s="2">
        <f t="shared" si="31"/>
        <v>0</v>
      </c>
      <c r="BT84" s="2"/>
      <c r="BU84" s="2">
        <f t="shared" si="50"/>
        <v>0</v>
      </c>
      <c r="BV84" s="2"/>
      <c r="BW84" s="2">
        <f t="shared" si="14"/>
        <v>0</v>
      </c>
      <c r="BX84" s="2" t="e">
        <f t="shared" si="15"/>
        <v>#DIV/0!</v>
      </c>
      <c r="BY84" s="2" t="e">
        <f t="shared" si="16"/>
        <v>#DIV/0!</v>
      </c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</row>
    <row r="85" spans="1:129" ht="14.25" customHeight="1">
      <c r="A85" s="3" t="s">
        <v>180</v>
      </c>
      <c r="B85" s="2">
        <f t="shared" ref="B85:K85" si="52">IF($A85="", "", VLOOKUP($A85, $A$2:$BY$77, COLUMN(B$1), FALSE))</f>
        <v>30</v>
      </c>
      <c r="C85" s="2" t="str">
        <f t="shared" si="52"/>
        <v>D</v>
      </c>
      <c r="D85" s="2" t="str">
        <f t="shared" si="52"/>
        <v>Milieu</v>
      </c>
      <c r="E85" s="2" t="str">
        <f t="shared" si="52"/>
        <v>MC</v>
      </c>
      <c r="F85" s="40">
        <f t="shared" si="52"/>
        <v>37888</v>
      </c>
      <c r="G85" s="2" t="str">
        <f t="shared" si="52"/>
        <v>PRO</v>
      </c>
      <c r="H85" s="2">
        <f t="shared" si="52"/>
        <v>22</v>
      </c>
      <c r="I85" s="2">
        <f t="shared" si="52"/>
        <v>80.7</v>
      </c>
      <c r="J85" s="2">
        <f t="shared" si="52"/>
        <v>186.5</v>
      </c>
      <c r="K85" s="2">
        <f t="shared" si="52"/>
        <v>54.5</v>
      </c>
      <c r="L85" s="13">
        <v>46251</v>
      </c>
      <c r="M85" s="3" t="s">
        <v>237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f t="shared" si="1"/>
        <v>0</v>
      </c>
      <c r="Z85" s="2">
        <f t="shared" si="2"/>
        <v>0</v>
      </c>
      <c r="AA85" s="2" t="e">
        <f t="shared" si="3"/>
        <v>#DIV/0!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3">
        <v>7604</v>
      </c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>
        <f t="shared" si="40"/>
        <v>0</v>
      </c>
      <c r="BF85" s="2"/>
      <c r="BG85" s="2">
        <f t="shared" si="41"/>
        <v>0</v>
      </c>
      <c r="BH85" s="2"/>
      <c r="BI85" s="2">
        <f t="shared" si="42"/>
        <v>0</v>
      </c>
      <c r="BJ85" s="2"/>
      <c r="BK85" s="2">
        <f t="shared" ref="BK85:BK120" si="53">BJ85/I85</f>
        <v>0</v>
      </c>
      <c r="BL85" s="2"/>
      <c r="BM85" s="2">
        <f t="shared" si="28"/>
        <v>0</v>
      </c>
      <c r="BN85" s="2"/>
      <c r="BO85" s="2">
        <f t="shared" si="29"/>
        <v>0</v>
      </c>
      <c r="BP85" s="2"/>
      <c r="BQ85" s="2">
        <f t="shared" si="30"/>
        <v>0</v>
      </c>
      <c r="BR85" s="2"/>
      <c r="BS85" s="2">
        <f t="shared" si="31"/>
        <v>0</v>
      </c>
      <c r="BT85" s="2"/>
      <c r="BU85" s="2">
        <f t="shared" si="50"/>
        <v>0</v>
      </c>
      <c r="BV85" s="2"/>
      <c r="BW85" s="2">
        <f t="shared" si="14"/>
        <v>0</v>
      </c>
      <c r="BX85" s="2" t="e">
        <f t="shared" si="15"/>
        <v>#DIV/0!</v>
      </c>
      <c r="BY85" s="2" t="e">
        <f t="shared" si="16"/>
        <v>#DIV/0!</v>
      </c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</row>
    <row r="86" spans="1:129" ht="14.25" customHeight="1">
      <c r="A86" s="3" t="s">
        <v>152</v>
      </c>
      <c r="B86" s="2">
        <f t="shared" ref="B86:K86" si="54">IF($A86="", "", VLOOKUP($A86, $A$2:$BY$77, COLUMN(B$1), FALSE))</f>
        <v>9</v>
      </c>
      <c r="C86" s="2" t="str">
        <f t="shared" si="54"/>
        <v>D</v>
      </c>
      <c r="D86" s="2" t="str">
        <f t="shared" si="54"/>
        <v>Attaquant</v>
      </c>
      <c r="E86" s="2" t="str">
        <f t="shared" si="54"/>
        <v>EXC</v>
      </c>
      <c r="F86" s="40">
        <f t="shared" si="54"/>
        <v>37263</v>
      </c>
      <c r="G86" s="2" t="str">
        <f t="shared" si="54"/>
        <v>PRO</v>
      </c>
      <c r="H86" s="2">
        <f t="shared" si="54"/>
        <v>24</v>
      </c>
      <c r="I86" s="2">
        <f t="shared" si="54"/>
        <v>80.7</v>
      </c>
      <c r="J86" s="2">
        <f t="shared" si="54"/>
        <v>179.5</v>
      </c>
      <c r="K86" s="2">
        <f t="shared" si="54"/>
        <v>60</v>
      </c>
      <c r="L86" s="13">
        <v>46251</v>
      </c>
      <c r="M86" s="3" t="s">
        <v>237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>
        <f t="shared" si="1"/>
        <v>0</v>
      </c>
      <c r="Z86" s="2">
        <f t="shared" si="2"/>
        <v>0</v>
      </c>
      <c r="AA86" s="2" t="e">
        <f t="shared" si="3"/>
        <v>#DIV/0!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3">
        <v>4854</v>
      </c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>
        <f t="shared" si="40"/>
        <v>0</v>
      </c>
      <c r="BF86" s="2"/>
      <c r="BG86" s="2">
        <f t="shared" si="41"/>
        <v>0</v>
      </c>
      <c r="BH86" s="2"/>
      <c r="BI86" s="2">
        <f t="shared" si="42"/>
        <v>0</v>
      </c>
      <c r="BJ86" s="2"/>
      <c r="BK86" s="2">
        <f t="shared" si="53"/>
        <v>0</v>
      </c>
      <c r="BL86" s="2"/>
      <c r="BM86" s="2">
        <f t="shared" si="28"/>
        <v>0</v>
      </c>
      <c r="BN86" s="2"/>
      <c r="BO86" s="2">
        <f t="shared" si="29"/>
        <v>0</v>
      </c>
      <c r="BP86" s="2"/>
      <c r="BQ86" s="2">
        <f t="shared" si="30"/>
        <v>0</v>
      </c>
      <c r="BR86" s="2"/>
      <c r="BS86" s="2">
        <f t="shared" si="31"/>
        <v>0</v>
      </c>
      <c r="BT86" s="2"/>
      <c r="BU86" s="2">
        <f t="shared" si="50"/>
        <v>0</v>
      </c>
      <c r="BV86" s="2"/>
      <c r="BW86" s="2">
        <f t="shared" si="14"/>
        <v>0</v>
      </c>
      <c r="BX86" s="2" t="e">
        <f t="shared" si="15"/>
        <v>#DIV/0!</v>
      </c>
      <c r="BY86" s="2" t="e">
        <f t="shared" si="16"/>
        <v>#DIV/0!</v>
      </c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</row>
    <row r="87" spans="1:129" ht="14.25" customHeight="1">
      <c r="A87" s="3" t="s">
        <v>169</v>
      </c>
      <c r="B87" s="2">
        <f t="shared" ref="B87:B153" si="55">IF($A87="", "", VLOOKUP($A87, $A$2:$BY$77, COLUMN(B$1), FALSE))</f>
        <v>85</v>
      </c>
      <c r="C87" s="3" t="s">
        <v>148</v>
      </c>
      <c r="D87" s="2" t="str">
        <f t="shared" ref="D87:K87" si="56">IF($A87="", "", VLOOKUP($A87, $A$2:$BY$77, COLUMN(D$1), FALSE))</f>
        <v>Attaquant</v>
      </c>
      <c r="E87" s="2" t="str">
        <f t="shared" si="56"/>
        <v>AT</v>
      </c>
      <c r="F87" s="41">
        <f t="shared" si="56"/>
        <v>38706</v>
      </c>
      <c r="G87" s="2" t="str">
        <f t="shared" si="56"/>
        <v>PRO</v>
      </c>
      <c r="H87" s="2">
        <f t="shared" si="56"/>
        <v>20</v>
      </c>
      <c r="I87" s="2">
        <f t="shared" si="56"/>
        <v>85.3</v>
      </c>
      <c r="J87" s="2">
        <f t="shared" si="56"/>
        <v>184</v>
      </c>
      <c r="K87" s="2">
        <f t="shared" si="56"/>
        <v>49.5</v>
      </c>
      <c r="L87" s="13">
        <v>46258</v>
      </c>
      <c r="M87" s="3" t="s">
        <v>237</v>
      </c>
      <c r="N87" s="2"/>
      <c r="O87" s="2">
        <f>366/9.81</f>
        <v>37.308868501529048</v>
      </c>
      <c r="P87" s="2">
        <f>454/9.81</f>
        <v>46.279306829765545</v>
      </c>
      <c r="Q87" s="3"/>
      <c r="R87" s="3"/>
      <c r="S87" s="2"/>
      <c r="T87" s="2"/>
      <c r="U87" s="3">
        <v>20.2</v>
      </c>
      <c r="V87" s="3">
        <v>22.4</v>
      </c>
      <c r="W87" s="3">
        <v>27.7</v>
      </c>
      <c r="X87" s="3">
        <v>27.7</v>
      </c>
      <c r="Y87" s="2">
        <f t="shared" si="1"/>
        <v>42.599999999999994</v>
      </c>
      <c r="Z87" s="2">
        <f t="shared" si="2"/>
        <v>55.4</v>
      </c>
      <c r="AA87" s="2">
        <f t="shared" si="3"/>
        <v>0.7689530685920577</v>
      </c>
      <c r="AB87" s="3">
        <v>19</v>
      </c>
      <c r="AC87" s="3">
        <v>20</v>
      </c>
      <c r="AD87" s="2"/>
      <c r="AE87" s="2"/>
      <c r="AF87" s="2"/>
      <c r="AG87" s="2"/>
      <c r="AH87" s="2"/>
      <c r="AI87" s="2"/>
      <c r="AJ87" s="2"/>
      <c r="AK87" s="2"/>
      <c r="AL87" s="2"/>
      <c r="AM87" s="3">
        <v>34.9</v>
      </c>
      <c r="AN87" s="3">
        <v>2066</v>
      </c>
      <c r="AO87" s="3">
        <v>21135</v>
      </c>
      <c r="AP87" s="2"/>
      <c r="AQ87" s="3">
        <v>4007</v>
      </c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3">
        <v>205</v>
      </c>
      <c r="BE87" s="2">
        <f t="shared" si="40"/>
        <v>2.4032825322391562</v>
      </c>
      <c r="BF87" s="3">
        <v>263</v>
      </c>
      <c r="BG87" s="2">
        <f t="shared" si="41"/>
        <v>3.0832356389214537</v>
      </c>
      <c r="BH87" s="3">
        <v>196</v>
      </c>
      <c r="BI87" s="2">
        <f t="shared" si="42"/>
        <v>2.2977725674091443</v>
      </c>
      <c r="BJ87" s="3">
        <v>246</v>
      </c>
      <c r="BK87" s="2">
        <f t="shared" si="53"/>
        <v>2.8839390386869872</v>
      </c>
      <c r="BL87" s="3">
        <v>130</v>
      </c>
      <c r="BM87" s="2">
        <f t="shared" si="28"/>
        <v>1.5240328253223916</v>
      </c>
      <c r="BN87" s="3">
        <v>120</v>
      </c>
      <c r="BO87" s="2">
        <f t="shared" si="29"/>
        <v>1.4067995310668231</v>
      </c>
      <c r="BP87" s="3">
        <v>126</v>
      </c>
      <c r="BQ87" s="2">
        <f t="shared" si="30"/>
        <v>1.4771395076201641</v>
      </c>
      <c r="BR87" s="3">
        <v>121</v>
      </c>
      <c r="BS87" s="2">
        <f t="shared" si="31"/>
        <v>1.4185228604923799</v>
      </c>
      <c r="BT87" s="3">
        <v>256</v>
      </c>
      <c r="BU87" s="2">
        <f t="shared" si="50"/>
        <v>3.0011723329425557</v>
      </c>
      <c r="BV87" s="3">
        <v>233</v>
      </c>
      <c r="BW87" s="2">
        <f t="shared" si="14"/>
        <v>2.7315357561547482</v>
      </c>
      <c r="BX87" s="2">
        <f t="shared" si="15"/>
        <v>1.3061224489795917</v>
      </c>
      <c r="BY87" s="2">
        <f t="shared" si="16"/>
        <v>0.94715447154471544</v>
      </c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</row>
    <row r="88" spans="1:129" ht="14.25" customHeight="1">
      <c r="A88" s="3"/>
      <c r="B88" s="2" t="str">
        <f t="shared" si="55"/>
        <v/>
      </c>
      <c r="C88" s="2" t="str">
        <f t="shared" ref="C88:K88" si="57">IF($A88="", "", VLOOKUP($A88, $A$2:$BY$77, COLUMN(C$1), FALSE))</f>
        <v/>
      </c>
      <c r="D88" s="2" t="str">
        <f t="shared" si="57"/>
        <v/>
      </c>
      <c r="E88" s="2" t="str">
        <f t="shared" si="57"/>
        <v/>
      </c>
      <c r="F88" s="2" t="str">
        <f t="shared" si="57"/>
        <v/>
      </c>
      <c r="G88" s="2" t="str">
        <f t="shared" si="57"/>
        <v/>
      </c>
      <c r="H88" s="2" t="str">
        <f t="shared" si="57"/>
        <v/>
      </c>
      <c r="I88" s="2" t="str">
        <f t="shared" si="57"/>
        <v/>
      </c>
      <c r="J88" s="2" t="str">
        <f t="shared" si="57"/>
        <v/>
      </c>
      <c r="K88" s="2" t="str">
        <f t="shared" si="57"/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>
        <f t="shared" si="1"/>
        <v>0</v>
      </c>
      <c r="Z88" s="2">
        <f t="shared" si="2"/>
        <v>0</v>
      </c>
      <c r="AA88" s="2" t="e">
        <f t="shared" si="3"/>
        <v>#DIV/0!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3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 t="e">
        <f t="shared" si="40"/>
        <v>#VALUE!</v>
      </c>
      <c r="BF88" s="2"/>
      <c r="BG88" s="2" t="e">
        <f t="shared" si="41"/>
        <v>#VALUE!</v>
      </c>
      <c r="BH88" s="2"/>
      <c r="BI88" s="2" t="e">
        <f t="shared" si="42"/>
        <v>#VALUE!</v>
      </c>
      <c r="BJ88" s="2"/>
      <c r="BK88" s="2" t="e">
        <f t="shared" si="53"/>
        <v>#VALUE!</v>
      </c>
      <c r="BL88" s="2"/>
      <c r="BM88" s="2" t="e">
        <f t="shared" si="28"/>
        <v>#VALUE!</v>
      </c>
      <c r="BN88" s="2"/>
      <c r="BO88" s="2" t="e">
        <f t="shared" si="29"/>
        <v>#VALUE!</v>
      </c>
      <c r="BP88" s="2"/>
      <c r="BQ88" s="2" t="e">
        <f t="shared" si="30"/>
        <v>#VALUE!</v>
      </c>
      <c r="BR88" s="2"/>
      <c r="BS88" s="2" t="e">
        <f t="shared" si="31"/>
        <v>#VALUE!</v>
      </c>
      <c r="BT88" s="2"/>
      <c r="BU88" s="2" t="e">
        <f t="shared" si="50"/>
        <v>#VALUE!</v>
      </c>
      <c r="BV88" s="2"/>
      <c r="BW88" s="2" t="e">
        <f t="shared" si="14"/>
        <v>#VALUE!</v>
      </c>
      <c r="BX88" s="2" t="e">
        <f t="shared" si="15"/>
        <v>#DIV/0!</v>
      </c>
      <c r="BY88" s="2" t="e">
        <f t="shared" si="16"/>
        <v>#DIV/0!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</row>
    <row r="89" spans="1:129" ht="14.25" customHeight="1">
      <c r="A89" s="3"/>
      <c r="B89" s="2" t="str">
        <f t="shared" si="55"/>
        <v/>
      </c>
      <c r="C89" s="2" t="str">
        <f t="shared" ref="C89:K89" si="58">IF($A89="", "", VLOOKUP($A89, $A$2:$BY$77, COLUMN(C$1), FALSE))</f>
        <v/>
      </c>
      <c r="D89" s="2" t="str">
        <f t="shared" si="58"/>
        <v/>
      </c>
      <c r="E89" s="2" t="str">
        <f t="shared" si="58"/>
        <v/>
      </c>
      <c r="F89" s="2" t="str">
        <f t="shared" si="58"/>
        <v/>
      </c>
      <c r="G89" s="2" t="str">
        <f t="shared" si="58"/>
        <v/>
      </c>
      <c r="H89" s="2" t="str">
        <f t="shared" si="58"/>
        <v/>
      </c>
      <c r="I89" s="2" t="str">
        <f t="shared" si="58"/>
        <v/>
      </c>
      <c r="J89" s="2" t="str">
        <f t="shared" si="58"/>
        <v/>
      </c>
      <c r="K89" s="2" t="str">
        <f t="shared" si="58"/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>
        <f t="shared" si="1"/>
        <v>0</v>
      </c>
      <c r="Z89" s="2">
        <f t="shared" si="2"/>
        <v>0</v>
      </c>
      <c r="AA89" s="2" t="e">
        <f t="shared" si="3"/>
        <v>#DIV/0!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 t="e">
        <f t="shared" si="41"/>
        <v>#VALUE!</v>
      </c>
      <c r="BH89" s="2"/>
      <c r="BI89" s="2" t="e">
        <f t="shared" si="42"/>
        <v>#VALUE!</v>
      </c>
      <c r="BJ89" s="2"/>
      <c r="BK89" s="2" t="e">
        <f t="shared" si="53"/>
        <v>#VALUE!</v>
      </c>
      <c r="BL89" s="2"/>
      <c r="BM89" s="2"/>
      <c r="BN89" s="2"/>
      <c r="BO89" s="2"/>
      <c r="BP89" s="2"/>
      <c r="BQ89" s="2"/>
      <c r="BR89" s="2"/>
      <c r="BS89" s="2"/>
      <c r="BT89" s="2"/>
      <c r="BU89" s="2" t="e">
        <f t="shared" si="50"/>
        <v>#VALUE!</v>
      </c>
      <c r="BV89" s="2"/>
      <c r="BW89" s="2" t="e">
        <f t="shared" si="14"/>
        <v>#VALUE!</v>
      </c>
      <c r="BX89" s="2" t="e">
        <f t="shared" si="15"/>
        <v>#DIV/0!</v>
      </c>
      <c r="BY89" s="2" t="e">
        <f t="shared" si="16"/>
        <v>#DIV/0!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</row>
    <row r="90" spans="1:129" ht="14.25" customHeight="1">
      <c r="A90" s="3"/>
      <c r="B90" s="2" t="str">
        <f t="shared" si="55"/>
        <v/>
      </c>
      <c r="C90" s="2" t="str">
        <f t="shared" ref="C90:K90" si="59">IF($A90="", "", VLOOKUP($A90, $A$2:$BY$77, COLUMN(C$1), FALSE))</f>
        <v/>
      </c>
      <c r="D90" s="2" t="str">
        <f t="shared" si="59"/>
        <v/>
      </c>
      <c r="E90" s="2" t="str">
        <f t="shared" si="59"/>
        <v/>
      </c>
      <c r="F90" s="2" t="str">
        <f t="shared" si="59"/>
        <v/>
      </c>
      <c r="G90" s="2" t="str">
        <f t="shared" si="59"/>
        <v/>
      </c>
      <c r="H90" s="2" t="str">
        <f t="shared" si="59"/>
        <v/>
      </c>
      <c r="I90" s="2" t="str">
        <f t="shared" si="59"/>
        <v/>
      </c>
      <c r="J90" s="2" t="str">
        <f t="shared" si="59"/>
        <v/>
      </c>
      <c r="K90" s="2" t="str">
        <f t="shared" si="59"/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>
        <f t="shared" si="1"/>
        <v>0</v>
      </c>
      <c r="Z90" s="2">
        <f t="shared" si="2"/>
        <v>0</v>
      </c>
      <c r="AA90" s="2" t="e">
        <f t="shared" si="3"/>
        <v>#DIV/0!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 t="e">
        <f t="shared" ref="BE90:BE131" si="60">BD90/I90</f>
        <v>#VALUE!</v>
      </c>
      <c r="BF90" s="2"/>
      <c r="BG90" s="2"/>
      <c r="BH90" s="2"/>
      <c r="BI90" s="2"/>
      <c r="BJ90" s="2"/>
      <c r="BK90" s="2" t="e">
        <f t="shared" si="53"/>
        <v>#VALUE!</v>
      </c>
      <c r="BL90" s="2"/>
      <c r="BM90" s="2" t="e">
        <f t="shared" ref="BM90:BM113" si="61">BL90/I90</f>
        <v>#VALUE!</v>
      </c>
      <c r="BN90" s="2"/>
      <c r="BO90" s="2" t="e">
        <f t="shared" ref="BO90:BO115" si="62">BN90/I90</f>
        <v>#VALUE!</v>
      </c>
      <c r="BP90" s="2"/>
      <c r="BQ90" s="2" t="e">
        <f t="shared" ref="BQ90:BQ116" si="63">BP90/I90</f>
        <v>#VALUE!</v>
      </c>
      <c r="BR90" s="2"/>
      <c r="BS90" s="2" t="e">
        <f t="shared" ref="BS90:BS126" si="64">BR90/I90</f>
        <v>#VALUE!</v>
      </c>
      <c r="BT90" s="2"/>
      <c r="BU90" s="2" t="e">
        <f t="shared" si="50"/>
        <v>#VALUE!</v>
      </c>
      <c r="BV90" s="2"/>
      <c r="BW90" s="2" t="e">
        <f t="shared" si="14"/>
        <v>#VALUE!</v>
      </c>
      <c r="BX90" s="2" t="e">
        <f t="shared" si="15"/>
        <v>#DIV/0!</v>
      </c>
      <c r="BY90" s="2" t="e">
        <f t="shared" si="16"/>
        <v>#DIV/0!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</row>
    <row r="91" spans="1:129" ht="14.25" customHeight="1">
      <c r="A91" s="3"/>
      <c r="B91" s="2" t="str">
        <f t="shared" si="55"/>
        <v/>
      </c>
      <c r="C91" s="2" t="str">
        <f t="shared" ref="C91:K91" si="65">IF($A91="", "", VLOOKUP($A91, $A$2:$BY$77, COLUMN(C$1), FALSE))</f>
        <v/>
      </c>
      <c r="D91" s="2" t="str">
        <f t="shared" si="65"/>
        <v/>
      </c>
      <c r="E91" s="2" t="str">
        <f t="shared" si="65"/>
        <v/>
      </c>
      <c r="F91" s="2" t="str">
        <f t="shared" si="65"/>
        <v/>
      </c>
      <c r="G91" s="2" t="str">
        <f t="shared" si="65"/>
        <v/>
      </c>
      <c r="H91" s="2" t="str">
        <f t="shared" si="65"/>
        <v/>
      </c>
      <c r="I91" s="2" t="str">
        <f t="shared" si="65"/>
        <v/>
      </c>
      <c r="J91" s="2" t="str">
        <f t="shared" si="65"/>
        <v/>
      </c>
      <c r="K91" s="2" t="str">
        <f t="shared" si="65"/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>
        <f t="shared" si="1"/>
        <v>0</v>
      </c>
      <c r="Z91" s="2">
        <f t="shared" si="2"/>
        <v>0</v>
      </c>
      <c r="AA91" s="2" t="e">
        <f t="shared" si="3"/>
        <v>#DIV/0!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 t="e">
        <f t="shared" si="60"/>
        <v>#VALUE!</v>
      </c>
      <c r="BF91" s="2"/>
      <c r="BG91" s="2" t="e">
        <f t="shared" ref="BG91:BG115" si="66">BF91/I91</f>
        <v>#VALUE!</v>
      </c>
      <c r="BH91" s="2"/>
      <c r="BI91" s="2" t="e">
        <f t="shared" ref="BI91:BI113" si="67">BH91/I91</f>
        <v>#VALUE!</v>
      </c>
      <c r="BJ91" s="2"/>
      <c r="BK91" s="2" t="e">
        <f t="shared" si="53"/>
        <v>#VALUE!</v>
      </c>
      <c r="BL91" s="2"/>
      <c r="BM91" s="2" t="e">
        <f t="shared" si="61"/>
        <v>#VALUE!</v>
      </c>
      <c r="BN91" s="2"/>
      <c r="BO91" s="2" t="e">
        <f t="shared" si="62"/>
        <v>#VALUE!</v>
      </c>
      <c r="BP91" s="2"/>
      <c r="BQ91" s="2" t="e">
        <f t="shared" si="63"/>
        <v>#VALUE!</v>
      </c>
      <c r="BR91" s="2"/>
      <c r="BS91" s="2" t="e">
        <f t="shared" si="64"/>
        <v>#VALUE!</v>
      </c>
      <c r="BT91" s="2"/>
      <c r="BU91" s="2"/>
      <c r="BV91" s="2"/>
      <c r="BW91" s="2" t="e">
        <f t="shared" si="14"/>
        <v>#VALUE!</v>
      </c>
      <c r="BX91" s="2" t="e">
        <f t="shared" si="15"/>
        <v>#DIV/0!</v>
      </c>
      <c r="BY91" s="2" t="e">
        <f t="shared" si="16"/>
        <v>#DIV/0!</v>
      </c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</row>
    <row r="92" spans="1:129" ht="14.25" customHeight="1">
      <c r="A92" s="3"/>
      <c r="B92" s="2" t="str">
        <f t="shared" si="55"/>
        <v/>
      </c>
      <c r="C92" s="2" t="str">
        <f t="shared" ref="C92:K92" si="68">IF($A92="", "", VLOOKUP($A92, $A$2:$BY$77, COLUMN(C$1), FALSE))</f>
        <v/>
      </c>
      <c r="D92" s="2" t="str">
        <f t="shared" si="68"/>
        <v/>
      </c>
      <c r="E92" s="2" t="str">
        <f t="shared" si="68"/>
        <v/>
      </c>
      <c r="F92" s="2" t="str">
        <f t="shared" si="68"/>
        <v/>
      </c>
      <c r="G92" s="2" t="str">
        <f t="shared" si="68"/>
        <v/>
      </c>
      <c r="H92" s="2" t="str">
        <f t="shared" si="68"/>
        <v/>
      </c>
      <c r="I92" s="2" t="str">
        <f t="shared" si="68"/>
        <v/>
      </c>
      <c r="J92" s="2" t="str">
        <f t="shared" si="68"/>
        <v/>
      </c>
      <c r="K92" s="2" t="str">
        <f t="shared" si="68"/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>
        <f t="shared" si="1"/>
        <v>0</v>
      </c>
      <c r="Z92" s="2">
        <f t="shared" si="2"/>
        <v>0</v>
      </c>
      <c r="AA92" s="2" t="e">
        <f t="shared" si="3"/>
        <v>#DIV/0!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 t="e">
        <f t="shared" si="60"/>
        <v>#VALUE!</v>
      </c>
      <c r="BF92" s="2"/>
      <c r="BG92" s="2" t="e">
        <f t="shared" si="66"/>
        <v>#VALUE!</v>
      </c>
      <c r="BH92" s="2"/>
      <c r="BI92" s="2" t="e">
        <f t="shared" si="67"/>
        <v>#VALUE!</v>
      </c>
      <c r="BJ92" s="2"/>
      <c r="BK92" s="2" t="e">
        <f t="shared" si="53"/>
        <v>#VALUE!</v>
      </c>
      <c r="BL92" s="2"/>
      <c r="BM92" s="2" t="e">
        <f t="shared" si="61"/>
        <v>#VALUE!</v>
      </c>
      <c r="BN92" s="2"/>
      <c r="BO92" s="2" t="e">
        <f t="shared" si="62"/>
        <v>#VALUE!</v>
      </c>
      <c r="BP92" s="2"/>
      <c r="BQ92" s="2" t="e">
        <f t="shared" si="63"/>
        <v>#VALUE!</v>
      </c>
      <c r="BR92" s="2"/>
      <c r="BS92" s="2" t="e">
        <f t="shared" si="64"/>
        <v>#VALUE!</v>
      </c>
      <c r="BT92" s="2"/>
      <c r="BU92" s="2" t="e">
        <f t="shared" ref="BU92:BU99" si="69">BT92/I92</f>
        <v>#VALUE!</v>
      </c>
      <c r="BV92" s="2"/>
      <c r="BW92" s="2" t="e">
        <f t="shared" si="14"/>
        <v>#VALUE!</v>
      </c>
      <c r="BX92" s="2" t="e">
        <f t="shared" si="15"/>
        <v>#DIV/0!</v>
      </c>
      <c r="BY92" s="2" t="e">
        <f t="shared" si="16"/>
        <v>#DIV/0!</v>
      </c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</row>
    <row r="93" spans="1:129" ht="14.25" customHeight="1">
      <c r="A93" s="3"/>
      <c r="B93" s="2" t="str">
        <f t="shared" si="55"/>
        <v/>
      </c>
      <c r="C93" s="2" t="str">
        <f t="shared" ref="C93:K93" si="70">IF($A93="", "", VLOOKUP($A93, $A$2:$BY$77, COLUMN(C$1), FALSE))</f>
        <v/>
      </c>
      <c r="D93" s="2" t="str">
        <f t="shared" si="70"/>
        <v/>
      </c>
      <c r="E93" s="2" t="str">
        <f t="shared" si="70"/>
        <v/>
      </c>
      <c r="F93" s="2" t="str">
        <f t="shared" si="70"/>
        <v/>
      </c>
      <c r="G93" s="2" t="str">
        <f t="shared" si="70"/>
        <v/>
      </c>
      <c r="H93" s="2" t="str">
        <f t="shared" si="70"/>
        <v/>
      </c>
      <c r="I93" s="2" t="str">
        <f t="shared" si="70"/>
        <v/>
      </c>
      <c r="J93" s="2" t="str">
        <f t="shared" si="70"/>
        <v/>
      </c>
      <c r="K93" s="2" t="str">
        <f t="shared" si="70"/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>
        <f t="shared" si="1"/>
        <v>0</v>
      </c>
      <c r="Z93" s="2">
        <f t="shared" si="2"/>
        <v>0</v>
      </c>
      <c r="AA93" s="2" t="e">
        <f t="shared" si="3"/>
        <v>#DIV/0!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 t="e">
        <f t="shared" si="60"/>
        <v>#VALUE!</v>
      </c>
      <c r="BF93" s="2"/>
      <c r="BG93" s="2" t="e">
        <f t="shared" si="66"/>
        <v>#VALUE!</v>
      </c>
      <c r="BH93" s="2"/>
      <c r="BI93" s="2" t="e">
        <f t="shared" si="67"/>
        <v>#VALUE!</v>
      </c>
      <c r="BJ93" s="2"/>
      <c r="BK93" s="2" t="e">
        <f t="shared" si="53"/>
        <v>#VALUE!</v>
      </c>
      <c r="BL93" s="2"/>
      <c r="BM93" s="2" t="e">
        <f t="shared" si="61"/>
        <v>#VALUE!</v>
      </c>
      <c r="BN93" s="2"/>
      <c r="BO93" s="2" t="e">
        <f t="shared" si="62"/>
        <v>#VALUE!</v>
      </c>
      <c r="BP93" s="2"/>
      <c r="BQ93" s="2" t="e">
        <f t="shared" si="63"/>
        <v>#VALUE!</v>
      </c>
      <c r="BR93" s="2"/>
      <c r="BS93" s="2" t="e">
        <f t="shared" si="64"/>
        <v>#VALUE!</v>
      </c>
      <c r="BT93" s="2"/>
      <c r="BU93" s="2" t="e">
        <f t="shared" si="69"/>
        <v>#VALUE!</v>
      </c>
      <c r="BV93" s="2"/>
      <c r="BW93" s="2" t="e">
        <f t="shared" si="14"/>
        <v>#VALUE!</v>
      </c>
      <c r="BX93" s="2" t="e">
        <f t="shared" si="15"/>
        <v>#DIV/0!</v>
      </c>
      <c r="BY93" s="2" t="e">
        <f t="shared" si="16"/>
        <v>#DIV/0!</v>
      </c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</row>
    <row r="94" spans="1:129" ht="14.25" customHeight="1">
      <c r="A94" s="3"/>
      <c r="B94" s="2" t="str">
        <f t="shared" si="55"/>
        <v/>
      </c>
      <c r="C94" s="2" t="str">
        <f t="shared" ref="C94:K94" si="71">IF($A94="", "", VLOOKUP($A94, $A$2:$BY$77, COLUMN(C$1), FALSE))</f>
        <v/>
      </c>
      <c r="D94" s="2" t="str">
        <f t="shared" si="71"/>
        <v/>
      </c>
      <c r="E94" s="2" t="str">
        <f t="shared" si="71"/>
        <v/>
      </c>
      <c r="F94" s="2" t="str">
        <f t="shared" si="71"/>
        <v/>
      </c>
      <c r="G94" s="2" t="str">
        <f t="shared" si="71"/>
        <v/>
      </c>
      <c r="H94" s="2" t="str">
        <f t="shared" si="71"/>
        <v/>
      </c>
      <c r="I94" s="2" t="str">
        <f t="shared" si="71"/>
        <v/>
      </c>
      <c r="J94" s="2" t="str">
        <f t="shared" si="71"/>
        <v/>
      </c>
      <c r="K94" s="2" t="str">
        <f t="shared" si="71"/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>
        <f t="shared" si="1"/>
        <v>0</v>
      </c>
      <c r="Z94" s="2">
        <f t="shared" si="2"/>
        <v>0</v>
      </c>
      <c r="AA94" s="2" t="e">
        <f t="shared" si="3"/>
        <v>#DIV/0!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 t="e">
        <f t="shared" si="60"/>
        <v>#VALUE!</v>
      </c>
      <c r="BF94" s="2"/>
      <c r="BG94" s="2" t="e">
        <f t="shared" si="66"/>
        <v>#VALUE!</v>
      </c>
      <c r="BH94" s="2"/>
      <c r="BI94" s="2" t="e">
        <f t="shared" si="67"/>
        <v>#VALUE!</v>
      </c>
      <c r="BJ94" s="2"/>
      <c r="BK94" s="2" t="e">
        <f t="shared" si="53"/>
        <v>#VALUE!</v>
      </c>
      <c r="BL94" s="2"/>
      <c r="BM94" s="2" t="e">
        <f t="shared" si="61"/>
        <v>#VALUE!</v>
      </c>
      <c r="BN94" s="2"/>
      <c r="BO94" s="2" t="e">
        <f t="shared" si="62"/>
        <v>#VALUE!</v>
      </c>
      <c r="BP94" s="2"/>
      <c r="BQ94" s="2" t="e">
        <f t="shared" si="63"/>
        <v>#VALUE!</v>
      </c>
      <c r="BR94" s="2"/>
      <c r="BS94" s="2" t="e">
        <f t="shared" si="64"/>
        <v>#VALUE!</v>
      </c>
      <c r="BT94" s="2"/>
      <c r="BU94" s="2" t="e">
        <f t="shared" si="69"/>
        <v>#VALUE!</v>
      </c>
      <c r="BV94" s="2"/>
      <c r="BW94" s="2" t="e">
        <f t="shared" si="14"/>
        <v>#VALUE!</v>
      </c>
      <c r="BX94" s="2" t="e">
        <f t="shared" si="15"/>
        <v>#DIV/0!</v>
      </c>
      <c r="BY94" s="2" t="e">
        <f t="shared" si="16"/>
        <v>#DIV/0!</v>
      </c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</row>
    <row r="95" spans="1:129" ht="14.25" customHeight="1">
      <c r="A95" s="3"/>
      <c r="B95" s="2" t="str">
        <f t="shared" si="55"/>
        <v/>
      </c>
      <c r="C95" s="2" t="str">
        <f t="shared" ref="C95:K95" si="72">IF($A95="", "", VLOOKUP($A95, $A$2:$BY$77, COLUMN(C$1), FALSE))</f>
        <v/>
      </c>
      <c r="D95" s="2" t="str">
        <f t="shared" si="72"/>
        <v/>
      </c>
      <c r="E95" s="2" t="str">
        <f t="shared" si="72"/>
        <v/>
      </c>
      <c r="F95" s="2" t="str">
        <f t="shared" si="72"/>
        <v/>
      </c>
      <c r="G95" s="2" t="str">
        <f t="shared" si="72"/>
        <v/>
      </c>
      <c r="H95" s="2" t="str">
        <f t="shared" si="72"/>
        <v/>
      </c>
      <c r="I95" s="2" t="str">
        <f t="shared" si="72"/>
        <v/>
      </c>
      <c r="J95" s="2" t="str">
        <f t="shared" si="72"/>
        <v/>
      </c>
      <c r="K95" s="2" t="str">
        <f t="shared" si="72"/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>
        <f t="shared" si="1"/>
        <v>0</v>
      </c>
      <c r="Z95" s="2">
        <f t="shared" si="2"/>
        <v>0</v>
      </c>
      <c r="AA95" s="2" t="e">
        <f t="shared" si="3"/>
        <v>#DIV/0!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 t="e">
        <f t="shared" si="60"/>
        <v>#VALUE!</v>
      </c>
      <c r="BF95" s="2"/>
      <c r="BG95" s="2" t="e">
        <f t="shared" si="66"/>
        <v>#VALUE!</v>
      </c>
      <c r="BH95" s="2"/>
      <c r="BI95" s="2" t="e">
        <f t="shared" si="67"/>
        <v>#VALUE!</v>
      </c>
      <c r="BJ95" s="2"/>
      <c r="BK95" s="2" t="e">
        <f t="shared" si="53"/>
        <v>#VALUE!</v>
      </c>
      <c r="BL95" s="2"/>
      <c r="BM95" s="2" t="e">
        <f t="shared" si="61"/>
        <v>#VALUE!</v>
      </c>
      <c r="BN95" s="2"/>
      <c r="BO95" s="2" t="e">
        <f t="shared" si="62"/>
        <v>#VALUE!</v>
      </c>
      <c r="BP95" s="2"/>
      <c r="BQ95" s="2" t="e">
        <f t="shared" si="63"/>
        <v>#VALUE!</v>
      </c>
      <c r="BR95" s="2"/>
      <c r="BS95" s="2" t="e">
        <f t="shared" si="64"/>
        <v>#VALUE!</v>
      </c>
      <c r="BT95" s="2"/>
      <c r="BU95" s="2" t="e">
        <f t="shared" si="69"/>
        <v>#VALUE!</v>
      </c>
      <c r="BV95" s="2"/>
      <c r="BW95" s="2" t="e">
        <f t="shared" si="14"/>
        <v>#VALUE!</v>
      </c>
      <c r="BX95" s="2" t="e">
        <f t="shared" si="15"/>
        <v>#DIV/0!</v>
      </c>
      <c r="BY95" s="2" t="e">
        <f t="shared" si="16"/>
        <v>#DIV/0!</v>
      </c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</row>
    <row r="96" spans="1:129" ht="14.25" customHeight="1">
      <c r="A96" s="3"/>
      <c r="B96" s="2" t="str">
        <f t="shared" si="55"/>
        <v/>
      </c>
      <c r="C96" s="2" t="str">
        <f t="shared" ref="C96:K96" si="73">IF($A96="", "", VLOOKUP($A96, $A$2:$BY$77, COLUMN(C$1), FALSE))</f>
        <v/>
      </c>
      <c r="D96" s="2" t="str">
        <f t="shared" si="73"/>
        <v/>
      </c>
      <c r="E96" s="2" t="str">
        <f t="shared" si="73"/>
        <v/>
      </c>
      <c r="F96" s="2" t="str">
        <f t="shared" si="73"/>
        <v/>
      </c>
      <c r="G96" s="2" t="str">
        <f t="shared" si="73"/>
        <v/>
      </c>
      <c r="H96" s="2" t="str">
        <f t="shared" si="73"/>
        <v/>
      </c>
      <c r="I96" s="2" t="str">
        <f t="shared" si="73"/>
        <v/>
      </c>
      <c r="J96" s="2" t="str">
        <f t="shared" si="73"/>
        <v/>
      </c>
      <c r="K96" s="2" t="str">
        <f t="shared" si="73"/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>
        <f t="shared" si="1"/>
        <v>0</v>
      </c>
      <c r="Z96" s="2">
        <f t="shared" si="2"/>
        <v>0</v>
      </c>
      <c r="AA96" s="2" t="e">
        <f t="shared" si="3"/>
        <v>#DIV/0!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 t="e">
        <f t="shared" si="60"/>
        <v>#VALUE!</v>
      </c>
      <c r="BF96" s="2"/>
      <c r="BG96" s="2" t="e">
        <f t="shared" si="66"/>
        <v>#VALUE!</v>
      </c>
      <c r="BH96" s="2"/>
      <c r="BI96" s="2" t="e">
        <f t="shared" si="67"/>
        <v>#VALUE!</v>
      </c>
      <c r="BJ96" s="2"/>
      <c r="BK96" s="2" t="e">
        <f t="shared" si="53"/>
        <v>#VALUE!</v>
      </c>
      <c r="BL96" s="2"/>
      <c r="BM96" s="2" t="e">
        <f t="shared" si="61"/>
        <v>#VALUE!</v>
      </c>
      <c r="BN96" s="2"/>
      <c r="BO96" s="2" t="e">
        <f t="shared" si="62"/>
        <v>#VALUE!</v>
      </c>
      <c r="BP96" s="2"/>
      <c r="BQ96" s="2" t="e">
        <f t="shared" si="63"/>
        <v>#VALUE!</v>
      </c>
      <c r="BR96" s="2"/>
      <c r="BS96" s="2" t="e">
        <f t="shared" si="64"/>
        <v>#VALUE!</v>
      </c>
      <c r="BT96" s="2"/>
      <c r="BU96" s="2" t="e">
        <f t="shared" si="69"/>
        <v>#VALUE!</v>
      </c>
      <c r="BV96" s="2"/>
      <c r="BW96" s="2" t="e">
        <f t="shared" si="14"/>
        <v>#VALUE!</v>
      </c>
      <c r="BX96" s="2" t="e">
        <f t="shared" si="15"/>
        <v>#DIV/0!</v>
      </c>
      <c r="BY96" s="2" t="e">
        <f t="shared" si="16"/>
        <v>#DIV/0!</v>
      </c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</row>
    <row r="97" spans="1:129" ht="14.25" customHeight="1">
      <c r="A97" s="3"/>
      <c r="B97" s="2" t="str">
        <f t="shared" si="55"/>
        <v/>
      </c>
      <c r="C97" s="2" t="str">
        <f t="shared" ref="C97:K97" si="74">IF($A97="", "", VLOOKUP($A97, $A$2:$BY$77, COLUMN(C$1), FALSE))</f>
        <v/>
      </c>
      <c r="D97" s="2" t="str">
        <f t="shared" si="74"/>
        <v/>
      </c>
      <c r="E97" s="2" t="str">
        <f t="shared" si="74"/>
        <v/>
      </c>
      <c r="F97" s="2" t="str">
        <f t="shared" si="74"/>
        <v/>
      </c>
      <c r="G97" s="2" t="str">
        <f t="shared" si="74"/>
        <v/>
      </c>
      <c r="H97" s="2" t="str">
        <f t="shared" si="74"/>
        <v/>
      </c>
      <c r="I97" s="2" t="str">
        <f t="shared" si="74"/>
        <v/>
      </c>
      <c r="J97" s="2" t="str">
        <f t="shared" si="74"/>
        <v/>
      </c>
      <c r="K97" s="2" t="str">
        <f t="shared" si="74"/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>
        <f t="shared" si="1"/>
        <v>0</v>
      </c>
      <c r="Z97" s="2">
        <f t="shared" si="2"/>
        <v>0</v>
      </c>
      <c r="AA97" s="2" t="e">
        <f t="shared" si="3"/>
        <v>#DIV/0!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 t="e">
        <f t="shared" si="60"/>
        <v>#VALUE!</v>
      </c>
      <c r="BF97" s="2"/>
      <c r="BG97" s="2" t="e">
        <f t="shared" si="66"/>
        <v>#VALUE!</v>
      </c>
      <c r="BH97" s="2"/>
      <c r="BI97" s="2" t="e">
        <f t="shared" si="67"/>
        <v>#VALUE!</v>
      </c>
      <c r="BJ97" s="2"/>
      <c r="BK97" s="2" t="e">
        <f t="shared" si="53"/>
        <v>#VALUE!</v>
      </c>
      <c r="BL97" s="2"/>
      <c r="BM97" s="2" t="e">
        <f t="shared" si="61"/>
        <v>#VALUE!</v>
      </c>
      <c r="BN97" s="2"/>
      <c r="BO97" s="2" t="e">
        <f t="shared" si="62"/>
        <v>#VALUE!</v>
      </c>
      <c r="BP97" s="2"/>
      <c r="BQ97" s="2" t="e">
        <f t="shared" si="63"/>
        <v>#VALUE!</v>
      </c>
      <c r="BR97" s="2"/>
      <c r="BS97" s="2" t="e">
        <f t="shared" si="64"/>
        <v>#VALUE!</v>
      </c>
      <c r="BT97" s="2"/>
      <c r="BU97" s="2" t="e">
        <f t="shared" si="69"/>
        <v>#VALUE!</v>
      </c>
      <c r="BV97" s="2"/>
      <c r="BW97" s="2" t="e">
        <f t="shared" si="14"/>
        <v>#VALUE!</v>
      </c>
      <c r="BX97" s="2" t="e">
        <f t="shared" si="15"/>
        <v>#DIV/0!</v>
      </c>
      <c r="BY97" s="2" t="e">
        <f t="shared" si="16"/>
        <v>#DIV/0!</v>
      </c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</row>
    <row r="98" spans="1:129" ht="14.25" customHeight="1">
      <c r="A98" s="3"/>
      <c r="B98" s="2" t="str">
        <f t="shared" si="55"/>
        <v/>
      </c>
      <c r="C98" s="2" t="str">
        <f t="shared" ref="C98:K98" si="75">IF($A98="", "", VLOOKUP($A98, $A$2:$BY$77, COLUMN(C$1), FALSE))</f>
        <v/>
      </c>
      <c r="D98" s="2" t="str">
        <f t="shared" si="75"/>
        <v/>
      </c>
      <c r="E98" s="2" t="str">
        <f t="shared" si="75"/>
        <v/>
      </c>
      <c r="F98" s="2" t="str">
        <f t="shared" si="75"/>
        <v/>
      </c>
      <c r="G98" s="2" t="str">
        <f t="shared" si="75"/>
        <v/>
      </c>
      <c r="H98" s="2" t="str">
        <f t="shared" si="75"/>
        <v/>
      </c>
      <c r="I98" s="2" t="str">
        <f t="shared" si="75"/>
        <v/>
      </c>
      <c r="J98" s="2" t="str">
        <f t="shared" si="75"/>
        <v/>
      </c>
      <c r="K98" s="2" t="str">
        <f t="shared" si="75"/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>
        <f t="shared" si="1"/>
        <v>0</v>
      </c>
      <c r="Z98" s="2">
        <f t="shared" si="2"/>
        <v>0</v>
      </c>
      <c r="AA98" s="2" t="e">
        <f t="shared" si="3"/>
        <v>#DIV/0!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 t="e">
        <f t="shared" si="60"/>
        <v>#VALUE!</v>
      </c>
      <c r="BF98" s="2"/>
      <c r="BG98" s="2" t="e">
        <f t="shared" si="66"/>
        <v>#VALUE!</v>
      </c>
      <c r="BH98" s="2"/>
      <c r="BI98" s="2" t="e">
        <f t="shared" si="67"/>
        <v>#VALUE!</v>
      </c>
      <c r="BJ98" s="2"/>
      <c r="BK98" s="2" t="e">
        <f t="shared" si="53"/>
        <v>#VALUE!</v>
      </c>
      <c r="BL98" s="2"/>
      <c r="BM98" s="2" t="e">
        <f t="shared" si="61"/>
        <v>#VALUE!</v>
      </c>
      <c r="BN98" s="2"/>
      <c r="BO98" s="2" t="e">
        <f t="shared" si="62"/>
        <v>#VALUE!</v>
      </c>
      <c r="BP98" s="2"/>
      <c r="BQ98" s="2" t="e">
        <f t="shared" si="63"/>
        <v>#VALUE!</v>
      </c>
      <c r="BR98" s="2"/>
      <c r="BS98" s="2" t="e">
        <f t="shared" si="64"/>
        <v>#VALUE!</v>
      </c>
      <c r="BT98" s="2"/>
      <c r="BU98" s="2" t="e">
        <f t="shared" si="69"/>
        <v>#VALUE!</v>
      </c>
      <c r="BV98" s="2"/>
      <c r="BW98" s="2" t="e">
        <f t="shared" si="14"/>
        <v>#VALUE!</v>
      </c>
      <c r="BX98" s="2" t="e">
        <f t="shared" si="15"/>
        <v>#DIV/0!</v>
      </c>
      <c r="BY98" s="2" t="e">
        <f t="shared" si="16"/>
        <v>#DIV/0!</v>
      </c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</row>
    <row r="99" spans="1:129" ht="14.25" customHeight="1">
      <c r="A99" s="3"/>
      <c r="B99" s="2" t="str">
        <f t="shared" si="55"/>
        <v/>
      </c>
      <c r="C99" s="2" t="str">
        <f t="shared" ref="C99:K99" si="76">IF($A99="", "", VLOOKUP($A99, $A$2:$BY$77, COLUMN(C$1), FALSE))</f>
        <v/>
      </c>
      <c r="D99" s="2" t="str">
        <f t="shared" si="76"/>
        <v/>
      </c>
      <c r="E99" s="2" t="str">
        <f t="shared" si="76"/>
        <v/>
      </c>
      <c r="F99" s="2" t="str">
        <f t="shared" si="76"/>
        <v/>
      </c>
      <c r="G99" s="2" t="str">
        <f t="shared" si="76"/>
        <v/>
      </c>
      <c r="H99" s="2" t="str">
        <f t="shared" si="76"/>
        <v/>
      </c>
      <c r="I99" s="2" t="str">
        <f t="shared" si="76"/>
        <v/>
      </c>
      <c r="J99" s="2" t="str">
        <f t="shared" si="76"/>
        <v/>
      </c>
      <c r="K99" s="2" t="str">
        <f t="shared" si="76"/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>
        <f t="shared" si="1"/>
        <v>0</v>
      </c>
      <c r="Z99" s="2">
        <f t="shared" si="2"/>
        <v>0</v>
      </c>
      <c r="AA99" s="2" t="e">
        <f t="shared" si="3"/>
        <v>#DIV/0!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 t="e">
        <f t="shared" si="60"/>
        <v>#VALUE!</v>
      </c>
      <c r="BF99" s="2"/>
      <c r="BG99" s="2" t="e">
        <f t="shared" si="66"/>
        <v>#VALUE!</v>
      </c>
      <c r="BH99" s="2"/>
      <c r="BI99" s="2" t="e">
        <f t="shared" si="67"/>
        <v>#VALUE!</v>
      </c>
      <c r="BJ99" s="2"/>
      <c r="BK99" s="2" t="e">
        <f t="shared" si="53"/>
        <v>#VALUE!</v>
      </c>
      <c r="BL99" s="2"/>
      <c r="BM99" s="2" t="e">
        <f t="shared" si="61"/>
        <v>#VALUE!</v>
      </c>
      <c r="BN99" s="2"/>
      <c r="BO99" s="2" t="e">
        <f t="shared" si="62"/>
        <v>#VALUE!</v>
      </c>
      <c r="BP99" s="2"/>
      <c r="BQ99" s="2" t="e">
        <f t="shared" si="63"/>
        <v>#VALUE!</v>
      </c>
      <c r="BR99" s="2"/>
      <c r="BS99" s="2" t="e">
        <f t="shared" si="64"/>
        <v>#VALUE!</v>
      </c>
      <c r="BT99" s="2"/>
      <c r="BU99" s="2" t="e">
        <f t="shared" si="69"/>
        <v>#VALUE!</v>
      </c>
      <c r="BV99" s="2"/>
      <c r="BW99" s="2" t="e">
        <f t="shared" si="14"/>
        <v>#VALUE!</v>
      </c>
      <c r="BX99" s="2" t="e">
        <f t="shared" si="15"/>
        <v>#DIV/0!</v>
      </c>
      <c r="BY99" s="2" t="e">
        <f t="shared" si="16"/>
        <v>#DIV/0!</v>
      </c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</row>
    <row r="100" spans="1:129" ht="14.25" customHeight="1">
      <c r="A100" s="3"/>
      <c r="B100" s="2" t="str">
        <f t="shared" si="55"/>
        <v/>
      </c>
      <c r="C100" s="2" t="str">
        <f t="shared" ref="C100:K100" si="77">IF($A100="", "", VLOOKUP($A100, $A$2:$BY$77, COLUMN(C$1), FALSE))</f>
        <v/>
      </c>
      <c r="D100" s="2" t="str">
        <f t="shared" si="77"/>
        <v/>
      </c>
      <c r="E100" s="2" t="str">
        <f t="shared" si="77"/>
        <v/>
      </c>
      <c r="F100" s="2" t="str">
        <f t="shared" si="77"/>
        <v/>
      </c>
      <c r="G100" s="2" t="str">
        <f t="shared" si="77"/>
        <v/>
      </c>
      <c r="H100" s="2" t="str">
        <f t="shared" si="77"/>
        <v/>
      </c>
      <c r="I100" s="2" t="str">
        <f t="shared" si="77"/>
        <v/>
      </c>
      <c r="J100" s="2" t="str">
        <f t="shared" si="77"/>
        <v/>
      </c>
      <c r="K100" s="2" t="str">
        <f t="shared" si="77"/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>
        <f t="shared" si="1"/>
        <v>0</v>
      </c>
      <c r="Z100" s="2">
        <f t="shared" si="2"/>
        <v>0</v>
      </c>
      <c r="AA100" s="2" t="e">
        <f t="shared" si="3"/>
        <v>#DIV/0!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 t="e">
        <f t="shared" si="60"/>
        <v>#VALUE!</v>
      </c>
      <c r="BF100" s="2"/>
      <c r="BG100" s="2" t="e">
        <f t="shared" si="66"/>
        <v>#VALUE!</v>
      </c>
      <c r="BH100" s="2"/>
      <c r="BI100" s="2" t="e">
        <f t="shared" si="67"/>
        <v>#VALUE!</v>
      </c>
      <c r="BJ100" s="2"/>
      <c r="BK100" s="2" t="e">
        <f t="shared" si="53"/>
        <v>#VALUE!</v>
      </c>
      <c r="BL100" s="2"/>
      <c r="BM100" s="2" t="e">
        <f t="shared" si="61"/>
        <v>#VALUE!</v>
      </c>
      <c r="BN100" s="2"/>
      <c r="BO100" s="2" t="e">
        <f t="shared" si="62"/>
        <v>#VALUE!</v>
      </c>
      <c r="BP100" s="2"/>
      <c r="BQ100" s="2" t="e">
        <f t="shared" si="63"/>
        <v>#VALUE!</v>
      </c>
      <c r="BR100" s="2"/>
      <c r="BS100" s="2" t="e">
        <f t="shared" si="64"/>
        <v>#VALUE!</v>
      </c>
      <c r="BT100" s="2"/>
      <c r="BU100" s="2"/>
      <c r="BV100" s="2"/>
      <c r="BW100" s="2" t="e">
        <f t="shared" si="14"/>
        <v>#VALUE!</v>
      </c>
      <c r="BX100" s="2" t="e">
        <f t="shared" si="15"/>
        <v>#DIV/0!</v>
      </c>
      <c r="BY100" s="2" t="e">
        <f t="shared" si="16"/>
        <v>#DIV/0!</v>
      </c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</row>
    <row r="101" spans="1:129" ht="14.25" customHeight="1">
      <c r="A101" s="3"/>
      <c r="B101" s="2" t="str">
        <f t="shared" si="55"/>
        <v/>
      </c>
      <c r="C101" s="2" t="str">
        <f t="shared" ref="C101:K101" si="78">IF($A101="", "", VLOOKUP($A101, $A$2:$BY$77, COLUMN(C$1), FALSE))</f>
        <v/>
      </c>
      <c r="D101" s="2" t="str">
        <f t="shared" si="78"/>
        <v/>
      </c>
      <c r="E101" s="2" t="str">
        <f t="shared" si="78"/>
        <v/>
      </c>
      <c r="F101" s="2" t="str">
        <f t="shared" si="78"/>
        <v/>
      </c>
      <c r="G101" s="2" t="str">
        <f t="shared" si="78"/>
        <v/>
      </c>
      <c r="H101" s="2" t="str">
        <f t="shared" si="78"/>
        <v/>
      </c>
      <c r="I101" s="2" t="str">
        <f t="shared" si="78"/>
        <v/>
      </c>
      <c r="J101" s="2" t="str">
        <f t="shared" si="78"/>
        <v/>
      </c>
      <c r="K101" s="2" t="str">
        <f t="shared" si="78"/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>
        <f t="shared" si="1"/>
        <v>0</v>
      </c>
      <c r="Z101" s="2">
        <f t="shared" si="2"/>
        <v>0</v>
      </c>
      <c r="AA101" s="2" t="e">
        <f t="shared" si="3"/>
        <v>#DIV/0!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 t="e">
        <f t="shared" si="60"/>
        <v>#VALUE!</v>
      </c>
      <c r="BF101" s="2"/>
      <c r="BG101" s="2" t="e">
        <f t="shared" si="66"/>
        <v>#VALUE!</v>
      </c>
      <c r="BH101" s="2"/>
      <c r="BI101" s="2" t="e">
        <f t="shared" si="67"/>
        <v>#VALUE!</v>
      </c>
      <c r="BJ101" s="2"/>
      <c r="BK101" s="2" t="e">
        <f t="shared" si="53"/>
        <v>#VALUE!</v>
      </c>
      <c r="BL101" s="2"/>
      <c r="BM101" s="2" t="e">
        <f t="shared" si="61"/>
        <v>#VALUE!</v>
      </c>
      <c r="BN101" s="2"/>
      <c r="BO101" s="2" t="e">
        <f t="shared" si="62"/>
        <v>#VALUE!</v>
      </c>
      <c r="BP101" s="2"/>
      <c r="BQ101" s="2" t="e">
        <f t="shared" si="63"/>
        <v>#VALUE!</v>
      </c>
      <c r="BR101" s="2"/>
      <c r="BS101" s="2" t="e">
        <f t="shared" si="64"/>
        <v>#VALUE!</v>
      </c>
      <c r="BT101" s="2"/>
      <c r="BU101" s="2" t="e">
        <f t="shared" ref="BU101:BU108" si="79">BT101/I101</f>
        <v>#VALUE!</v>
      </c>
      <c r="BV101" s="2"/>
      <c r="BW101" s="2" t="e">
        <f t="shared" si="14"/>
        <v>#VALUE!</v>
      </c>
      <c r="BX101" s="2" t="e">
        <f t="shared" si="15"/>
        <v>#DIV/0!</v>
      </c>
      <c r="BY101" s="2" t="e">
        <f t="shared" si="16"/>
        <v>#DIV/0!</v>
      </c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</row>
    <row r="102" spans="1:129" ht="14.25" customHeight="1">
      <c r="A102" s="3"/>
      <c r="B102" s="2" t="str">
        <f t="shared" si="55"/>
        <v/>
      </c>
      <c r="C102" s="2" t="str">
        <f t="shared" ref="C102:K102" si="80">IF($A102="", "", VLOOKUP($A102, $A$2:$BY$77, COLUMN(C$1), FALSE))</f>
        <v/>
      </c>
      <c r="D102" s="2" t="str">
        <f t="shared" si="80"/>
        <v/>
      </c>
      <c r="E102" s="2" t="str">
        <f t="shared" si="80"/>
        <v/>
      </c>
      <c r="F102" s="2" t="str">
        <f t="shared" si="80"/>
        <v/>
      </c>
      <c r="G102" s="2" t="str">
        <f t="shared" si="80"/>
        <v/>
      </c>
      <c r="H102" s="2" t="str">
        <f t="shared" si="80"/>
        <v/>
      </c>
      <c r="I102" s="2" t="str">
        <f t="shared" si="80"/>
        <v/>
      </c>
      <c r="J102" s="2" t="str">
        <f t="shared" si="80"/>
        <v/>
      </c>
      <c r="K102" s="2" t="str">
        <f t="shared" si="80"/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>
        <f t="shared" si="1"/>
        <v>0</v>
      </c>
      <c r="Z102" s="2">
        <f t="shared" si="2"/>
        <v>0</v>
      </c>
      <c r="AA102" s="2" t="e">
        <f t="shared" si="3"/>
        <v>#DIV/0!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 t="e">
        <f t="shared" si="60"/>
        <v>#VALUE!</v>
      </c>
      <c r="BF102" s="2"/>
      <c r="BG102" s="2" t="e">
        <f t="shared" si="66"/>
        <v>#VALUE!</v>
      </c>
      <c r="BH102" s="2"/>
      <c r="BI102" s="2" t="e">
        <f t="shared" si="67"/>
        <v>#VALUE!</v>
      </c>
      <c r="BJ102" s="2"/>
      <c r="BK102" s="2" t="e">
        <f t="shared" si="53"/>
        <v>#VALUE!</v>
      </c>
      <c r="BL102" s="2"/>
      <c r="BM102" s="2" t="e">
        <f t="shared" si="61"/>
        <v>#VALUE!</v>
      </c>
      <c r="BN102" s="2"/>
      <c r="BO102" s="2" t="e">
        <f t="shared" si="62"/>
        <v>#VALUE!</v>
      </c>
      <c r="BP102" s="2"/>
      <c r="BQ102" s="2" t="e">
        <f t="shared" si="63"/>
        <v>#VALUE!</v>
      </c>
      <c r="BR102" s="2"/>
      <c r="BS102" s="2" t="e">
        <f t="shared" si="64"/>
        <v>#VALUE!</v>
      </c>
      <c r="BT102" s="2"/>
      <c r="BU102" s="2" t="e">
        <f t="shared" si="79"/>
        <v>#VALUE!</v>
      </c>
      <c r="BV102" s="2"/>
      <c r="BW102" s="2" t="e">
        <f t="shared" si="14"/>
        <v>#VALUE!</v>
      </c>
      <c r="BX102" s="2" t="e">
        <f t="shared" si="15"/>
        <v>#DIV/0!</v>
      </c>
      <c r="BY102" s="2" t="e">
        <f t="shared" si="16"/>
        <v>#DIV/0!</v>
      </c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</row>
    <row r="103" spans="1:129" ht="14.25" customHeight="1">
      <c r="A103" s="3"/>
      <c r="B103" s="2" t="str">
        <f t="shared" si="55"/>
        <v/>
      </c>
      <c r="C103" s="2" t="str">
        <f t="shared" ref="C103:K103" si="81">IF($A103="", "", VLOOKUP($A103, $A$2:$BY$77, COLUMN(C$1), FALSE))</f>
        <v/>
      </c>
      <c r="D103" s="2" t="str">
        <f t="shared" si="81"/>
        <v/>
      </c>
      <c r="E103" s="2" t="str">
        <f t="shared" si="81"/>
        <v/>
      </c>
      <c r="F103" s="2" t="str">
        <f t="shared" si="81"/>
        <v/>
      </c>
      <c r="G103" s="2" t="str">
        <f t="shared" si="81"/>
        <v/>
      </c>
      <c r="H103" s="2" t="str">
        <f t="shared" si="81"/>
        <v/>
      </c>
      <c r="I103" s="2" t="str">
        <f t="shared" si="81"/>
        <v/>
      </c>
      <c r="J103" s="2" t="str">
        <f t="shared" si="81"/>
        <v/>
      </c>
      <c r="K103" s="2" t="str">
        <f t="shared" si="81"/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>
        <f t="shared" si="1"/>
        <v>0</v>
      </c>
      <c r="Z103" s="2">
        <f t="shared" si="2"/>
        <v>0</v>
      </c>
      <c r="AA103" s="2" t="e">
        <f t="shared" si="3"/>
        <v>#DIV/0!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 t="e">
        <f t="shared" si="60"/>
        <v>#VALUE!</v>
      </c>
      <c r="BF103" s="2"/>
      <c r="BG103" s="2" t="e">
        <f t="shared" si="66"/>
        <v>#VALUE!</v>
      </c>
      <c r="BH103" s="2"/>
      <c r="BI103" s="2" t="e">
        <f t="shared" si="67"/>
        <v>#VALUE!</v>
      </c>
      <c r="BJ103" s="2"/>
      <c r="BK103" s="2" t="e">
        <f t="shared" si="53"/>
        <v>#VALUE!</v>
      </c>
      <c r="BL103" s="2"/>
      <c r="BM103" s="2" t="e">
        <f t="shared" si="61"/>
        <v>#VALUE!</v>
      </c>
      <c r="BN103" s="2"/>
      <c r="BO103" s="2" t="e">
        <f t="shared" si="62"/>
        <v>#VALUE!</v>
      </c>
      <c r="BP103" s="2"/>
      <c r="BQ103" s="2" t="e">
        <f t="shared" si="63"/>
        <v>#VALUE!</v>
      </c>
      <c r="BR103" s="2"/>
      <c r="BS103" s="2" t="e">
        <f t="shared" si="64"/>
        <v>#VALUE!</v>
      </c>
      <c r="BT103" s="2"/>
      <c r="BU103" s="2" t="e">
        <f t="shared" si="79"/>
        <v>#VALUE!</v>
      </c>
      <c r="BV103" s="2"/>
      <c r="BW103" s="2" t="e">
        <f t="shared" si="14"/>
        <v>#VALUE!</v>
      </c>
      <c r="BX103" s="2" t="e">
        <f t="shared" si="15"/>
        <v>#DIV/0!</v>
      </c>
      <c r="BY103" s="2" t="e">
        <f t="shared" si="16"/>
        <v>#DIV/0!</v>
      </c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</row>
    <row r="104" spans="1:129" ht="14.25" customHeight="1">
      <c r="A104" s="3"/>
      <c r="B104" s="2" t="str">
        <f t="shared" si="55"/>
        <v/>
      </c>
      <c r="C104" s="2" t="str">
        <f t="shared" ref="C104:K104" si="82">IF($A104="", "", VLOOKUP($A104, $A$2:$BY$77, COLUMN(C$1), FALSE))</f>
        <v/>
      </c>
      <c r="D104" s="2" t="str">
        <f t="shared" si="82"/>
        <v/>
      </c>
      <c r="E104" s="2" t="str">
        <f t="shared" si="82"/>
        <v/>
      </c>
      <c r="F104" s="2" t="str">
        <f t="shared" si="82"/>
        <v/>
      </c>
      <c r="G104" s="2" t="str">
        <f t="shared" si="82"/>
        <v/>
      </c>
      <c r="H104" s="2" t="str">
        <f t="shared" si="82"/>
        <v/>
      </c>
      <c r="I104" s="2" t="str">
        <f t="shared" si="82"/>
        <v/>
      </c>
      <c r="J104" s="2" t="str">
        <f t="shared" si="82"/>
        <v/>
      </c>
      <c r="K104" s="2" t="str">
        <f t="shared" si="82"/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>
        <f t="shared" si="1"/>
        <v>0</v>
      </c>
      <c r="Z104" s="2">
        <f t="shared" si="2"/>
        <v>0</v>
      </c>
      <c r="AA104" s="2" t="e">
        <f t="shared" si="3"/>
        <v>#DIV/0!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 t="e">
        <f t="shared" si="60"/>
        <v>#VALUE!</v>
      </c>
      <c r="BF104" s="2"/>
      <c r="BG104" s="2" t="e">
        <f t="shared" si="66"/>
        <v>#VALUE!</v>
      </c>
      <c r="BH104" s="2"/>
      <c r="BI104" s="2" t="e">
        <f t="shared" si="67"/>
        <v>#VALUE!</v>
      </c>
      <c r="BJ104" s="2"/>
      <c r="BK104" s="2" t="e">
        <f t="shared" si="53"/>
        <v>#VALUE!</v>
      </c>
      <c r="BL104" s="2"/>
      <c r="BM104" s="2" t="e">
        <f t="shared" si="61"/>
        <v>#VALUE!</v>
      </c>
      <c r="BN104" s="2"/>
      <c r="BO104" s="2" t="e">
        <f t="shared" si="62"/>
        <v>#VALUE!</v>
      </c>
      <c r="BP104" s="2"/>
      <c r="BQ104" s="2" t="e">
        <f t="shared" si="63"/>
        <v>#VALUE!</v>
      </c>
      <c r="BR104" s="2"/>
      <c r="BS104" s="2" t="e">
        <f t="shared" si="64"/>
        <v>#VALUE!</v>
      </c>
      <c r="BT104" s="2"/>
      <c r="BU104" s="2" t="e">
        <f t="shared" si="79"/>
        <v>#VALUE!</v>
      </c>
      <c r="BV104" s="2"/>
      <c r="BW104" s="2" t="e">
        <f t="shared" si="14"/>
        <v>#VALUE!</v>
      </c>
      <c r="BX104" s="2" t="e">
        <f t="shared" si="15"/>
        <v>#DIV/0!</v>
      </c>
      <c r="BY104" s="2" t="e">
        <f t="shared" si="16"/>
        <v>#DIV/0!</v>
      </c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</row>
    <row r="105" spans="1:129" ht="14.25" customHeight="1">
      <c r="A105" s="3"/>
      <c r="B105" s="2" t="str">
        <f t="shared" si="55"/>
        <v/>
      </c>
      <c r="C105" s="2" t="str">
        <f t="shared" ref="C105:K105" si="83">IF($A105="", "", VLOOKUP($A105, $A$2:$BY$77, COLUMN(C$1), FALSE))</f>
        <v/>
      </c>
      <c r="D105" s="2" t="str">
        <f t="shared" si="83"/>
        <v/>
      </c>
      <c r="E105" s="2" t="str">
        <f t="shared" si="83"/>
        <v/>
      </c>
      <c r="F105" s="2" t="str">
        <f t="shared" si="83"/>
        <v/>
      </c>
      <c r="G105" s="2" t="str">
        <f t="shared" si="83"/>
        <v/>
      </c>
      <c r="H105" s="2" t="str">
        <f t="shared" si="83"/>
        <v/>
      </c>
      <c r="I105" s="2" t="str">
        <f t="shared" si="83"/>
        <v/>
      </c>
      <c r="J105" s="2" t="str">
        <f t="shared" si="83"/>
        <v/>
      </c>
      <c r="K105" s="2" t="str">
        <f t="shared" si="83"/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>
        <f t="shared" si="1"/>
        <v>0</v>
      </c>
      <c r="Z105" s="2">
        <f t="shared" si="2"/>
        <v>0</v>
      </c>
      <c r="AA105" s="2" t="e">
        <f t="shared" si="3"/>
        <v>#DIV/0!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 t="e">
        <f t="shared" si="60"/>
        <v>#VALUE!</v>
      </c>
      <c r="BF105" s="2"/>
      <c r="BG105" s="2" t="e">
        <f t="shared" si="66"/>
        <v>#VALUE!</v>
      </c>
      <c r="BH105" s="2"/>
      <c r="BI105" s="2" t="e">
        <f t="shared" si="67"/>
        <v>#VALUE!</v>
      </c>
      <c r="BJ105" s="2"/>
      <c r="BK105" s="2" t="e">
        <f t="shared" si="53"/>
        <v>#VALUE!</v>
      </c>
      <c r="BL105" s="2"/>
      <c r="BM105" s="2" t="e">
        <f t="shared" si="61"/>
        <v>#VALUE!</v>
      </c>
      <c r="BN105" s="2"/>
      <c r="BO105" s="2" t="e">
        <f t="shared" si="62"/>
        <v>#VALUE!</v>
      </c>
      <c r="BP105" s="2"/>
      <c r="BQ105" s="2" t="e">
        <f t="shared" si="63"/>
        <v>#VALUE!</v>
      </c>
      <c r="BR105" s="2"/>
      <c r="BS105" s="2" t="e">
        <f t="shared" si="64"/>
        <v>#VALUE!</v>
      </c>
      <c r="BT105" s="2"/>
      <c r="BU105" s="2" t="e">
        <f t="shared" si="79"/>
        <v>#VALUE!</v>
      </c>
      <c r="BV105" s="2"/>
      <c r="BW105" s="2" t="e">
        <f t="shared" si="14"/>
        <v>#VALUE!</v>
      </c>
      <c r="BX105" s="2" t="e">
        <f t="shared" si="15"/>
        <v>#DIV/0!</v>
      </c>
      <c r="BY105" s="2" t="e">
        <f t="shared" si="16"/>
        <v>#DIV/0!</v>
      </c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</row>
    <row r="106" spans="1:129" ht="14.25" customHeight="1">
      <c r="A106" s="3"/>
      <c r="B106" s="2" t="str">
        <f t="shared" si="55"/>
        <v/>
      </c>
      <c r="C106" s="2" t="str">
        <f t="shared" ref="C106:K106" si="84">IF($A106="", "", VLOOKUP($A106, $A$2:$BY$77, COLUMN(C$1), FALSE))</f>
        <v/>
      </c>
      <c r="D106" s="2" t="str">
        <f t="shared" si="84"/>
        <v/>
      </c>
      <c r="E106" s="2" t="str">
        <f t="shared" si="84"/>
        <v/>
      </c>
      <c r="F106" s="2" t="str">
        <f t="shared" si="84"/>
        <v/>
      </c>
      <c r="G106" s="2" t="str">
        <f t="shared" si="84"/>
        <v/>
      </c>
      <c r="H106" s="2" t="str">
        <f t="shared" si="84"/>
        <v/>
      </c>
      <c r="I106" s="2" t="str">
        <f t="shared" si="84"/>
        <v/>
      </c>
      <c r="J106" s="2" t="str">
        <f t="shared" si="84"/>
        <v/>
      </c>
      <c r="K106" s="2" t="str">
        <f t="shared" si="84"/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>
        <f t="shared" si="1"/>
        <v>0</v>
      </c>
      <c r="Z106" s="2">
        <f t="shared" si="2"/>
        <v>0</v>
      </c>
      <c r="AA106" s="2" t="e">
        <f t="shared" si="3"/>
        <v>#DIV/0!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 t="e">
        <f t="shared" si="60"/>
        <v>#VALUE!</v>
      </c>
      <c r="BF106" s="2"/>
      <c r="BG106" s="2" t="e">
        <f t="shared" si="66"/>
        <v>#VALUE!</v>
      </c>
      <c r="BH106" s="2"/>
      <c r="BI106" s="2" t="e">
        <f t="shared" si="67"/>
        <v>#VALUE!</v>
      </c>
      <c r="BJ106" s="2"/>
      <c r="BK106" s="2" t="e">
        <f t="shared" si="53"/>
        <v>#VALUE!</v>
      </c>
      <c r="BL106" s="2"/>
      <c r="BM106" s="2" t="e">
        <f t="shared" si="61"/>
        <v>#VALUE!</v>
      </c>
      <c r="BN106" s="2"/>
      <c r="BO106" s="2" t="e">
        <f t="shared" si="62"/>
        <v>#VALUE!</v>
      </c>
      <c r="BP106" s="2"/>
      <c r="BQ106" s="2" t="e">
        <f t="shared" si="63"/>
        <v>#VALUE!</v>
      </c>
      <c r="BR106" s="2"/>
      <c r="BS106" s="2" t="e">
        <f t="shared" si="64"/>
        <v>#VALUE!</v>
      </c>
      <c r="BT106" s="2"/>
      <c r="BU106" s="2" t="e">
        <f t="shared" si="79"/>
        <v>#VALUE!</v>
      </c>
      <c r="BV106" s="2"/>
      <c r="BW106" s="2" t="e">
        <f t="shared" si="14"/>
        <v>#VALUE!</v>
      </c>
      <c r="BX106" s="2" t="e">
        <f t="shared" si="15"/>
        <v>#DIV/0!</v>
      </c>
      <c r="BY106" s="2" t="e">
        <f t="shared" si="16"/>
        <v>#DIV/0!</v>
      </c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</row>
    <row r="107" spans="1:129" ht="14.25" customHeight="1">
      <c r="A107" s="3"/>
      <c r="B107" s="2" t="str">
        <f t="shared" si="55"/>
        <v/>
      </c>
      <c r="C107" s="2" t="str">
        <f t="shared" ref="C107:K107" si="85">IF($A107="", "", VLOOKUP($A107, $A$2:$BY$77, COLUMN(C$1), FALSE))</f>
        <v/>
      </c>
      <c r="D107" s="2" t="str">
        <f t="shared" si="85"/>
        <v/>
      </c>
      <c r="E107" s="2" t="str">
        <f t="shared" si="85"/>
        <v/>
      </c>
      <c r="F107" s="2" t="str">
        <f t="shared" si="85"/>
        <v/>
      </c>
      <c r="G107" s="2" t="str">
        <f t="shared" si="85"/>
        <v/>
      </c>
      <c r="H107" s="2" t="str">
        <f t="shared" si="85"/>
        <v/>
      </c>
      <c r="I107" s="2" t="str">
        <f t="shared" si="85"/>
        <v/>
      </c>
      <c r="J107" s="2" t="str">
        <f t="shared" si="85"/>
        <v/>
      </c>
      <c r="K107" s="2" t="str">
        <f t="shared" si="85"/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>
        <f t="shared" si="1"/>
        <v>0</v>
      </c>
      <c r="Z107" s="2">
        <f t="shared" si="2"/>
        <v>0</v>
      </c>
      <c r="AA107" s="2" t="e">
        <f t="shared" si="3"/>
        <v>#DIV/0!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 t="e">
        <f t="shared" si="60"/>
        <v>#VALUE!</v>
      </c>
      <c r="BF107" s="2"/>
      <c r="BG107" s="2" t="e">
        <f t="shared" si="66"/>
        <v>#VALUE!</v>
      </c>
      <c r="BH107" s="2"/>
      <c r="BI107" s="2" t="e">
        <f t="shared" si="67"/>
        <v>#VALUE!</v>
      </c>
      <c r="BJ107" s="2"/>
      <c r="BK107" s="2" t="e">
        <f t="shared" si="53"/>
        <v>#VALUE!</v>
      </c>
      <c r="BL107" s="2"/>
      <c r="BM107" s="2" t="e">
        <f t="shared" si="61"/>
        <v>#VALUE!</v>
      </c>
      <c r="BN107" s="2"/>
      <c r="BO107" s="2" t="e">
        <f t="shared" si="62"/>
        <v>#VALUE!</v>
      </c>
      <c r="BP107" s="2"/>
      <c r="BQ107" s="2" t="e">
        <f t="shared" si="63"/>
        <v>#VALUE!</v>
      </c>
      <c r="BR107" s="2"/>
      <c r="BS107" s="2" t="e">
        <f t="shared" si="64"/>
        <v>#VALUE!</v>
      </c>
      <c r="BT107" s="2"/>
      <c r="BU107" s="2" t="e">
        <f t="shared" si="79"/>
        <v>#VALUE!</v>
      </c>
      <c r="BV107" s="2"/>
      <c r="BW107" s="2" t="e">
        <f t="shared" si="14"/>
        <v>#VALUE!</v>
      </c>
      <c r="BX107" s="2" t="e">
        <f t="shared" si="15"/>
        <v>#DIV/0!</v>
      </c>
      <c r="BY107" s="2" t="e">
        <f t="shared" si="16"/>
        <v>#DIV/0!</v>
      </c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</row>
    <row r="108" spans="1:129" ht="14.25" customHeight="1">
      <c r="A108" s="3"/>
      <c r="B108" s="2" t="str">
        <f t="shared" si="55"/>
        <v/>
      </c>
      <c r="C108" s="2" t="str">
        <f t="shared" ref="C108:K108" si="86">IF($A108="", "", VLOOKUP($A108, $A$2:$BY$77, COLUMN(C$1), FALSE))</f>
        <v/>
      </c>
      <c r="D108" s="2" t="str">
        <f t="shared" si="86"/>
        <v/>
      </c>
      <c r="E108" s="2" t="str">
        <f t="shared" si="86"/>
        <v/>
      </c>
      <c r="F108" s="2" t="str">
        <f t="shared" si="86"/>
        <v/>
      </c>
      <c r="G108" s="2" t="str">
        <f t="shared" si="86"/>
        <v/>
      </c>
      <c r="H108" s="2" t="str">
        <f t="shared" si="86"/>
        <v/>
      </c>
      <c r="I108" s="2" t="str">
        <f t="shared" si="86"/>
        <v/>
      </c>
      <c r="J108" s="2" t="str">
        <f t="shared" si="86"/>
        <v/>
      </c>
      <c r="K108" s="2" t="str">
        <f t="shared" si="86"/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>
        <f t="shared" si="1"/>
        <v>0</v>
      </c>
      <c r="Z108" s="2">
        <f t="shared" si="2"/>
        <v>0</v>
      </c>
      <c r="AA108" s="2" t="e">
        <f t="shared" si="3"/>
        <v>#DIV/0!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 t="e">
        <f t="shared" si="60"/>
        <v>#VALUE!</v>
      </c>
      <c r="BF108" s="2"/>
      <c r="BG108" s="2" t="e">
        <f t="shared" si="66"/>
        <v>#VALUE!</v>
      </c>
      <c r="BH108" s="2"/>
      <c r="BI108" s="2" t="e">
        <f t="shared" si="67"/>
        <v>#VALUE!</v>
      </c>
      <c r="BJ108" s="2"/>
      <c r="BK108" s="2" t="e">
        <f t="shared" si="53"/>
        <v>#VALUE!</v>
      </c>
      <c r="BL108" s="2"/>
      <c r="BM108" s="2" t="e">
        <f t="shared" si="61"/>
        <v>#VALUE!</v>
      </c>
      <c r="BN108" s="2"/>
      <c r="BO108" s="2" t="e">
        <f t="shared" si="62"/>
        <v>#VALUE!</v>
      </c>
      <c r="BP108" s="2"/>
      <c r="BQ108" s="2" t="e">
        <f t="shared" si="63"/>
        <v>#VALUE!</v>
      </c>
      <c r="BR108" s="2"/>
      <c r="BS108" s="2" t="e">
        <f t="shared" si="64"/>
        <v>#VALUE!</v>
      </c>
      <c r="BT108" s="2"/>
      <c r="BU108" s="2" t="e">
        <f t="shared" si="79"/>
        <v>#VALUE!</v>
      </c>
      <c r="BV108" s="2"/>
      <c r="BW108" s="2" t="e">
        <f t="shared" si="14"/>
        <v>#VALUE!</v>
      </c>
      <c r="BX108" s="2" t="e">
        <f t="shared" si="15"/>
        <v>#DIV/0!</v>
      </c>
      <c r="BY108" s="2" t="e">
        <f t="shared" si="16"/>
        <v>#DIV/0!</v>
      </c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</row>
    <row r="109" spans="1:129" ht="14.25" customHeight="1">
      <c r="A109" s="3"/>
      <c r="B109" s="2" t="str">
        <f t="shared" si="55"/>
        <v/>
      </c>
      <c r="C109" s="2" t="str">
        <f t="shared" ref="C109:K109" si="87">IF($A109="", "", VLOOKUP($A109, $A$2:$BY$77, COLUMN(C$1), FALSE))</f>
        <v/>
      </c>
      <c r="D109" s="2" t="str">
        <f t="shared" si="87"/>
        <v/>
      </c>
      <c r="E109" s="2" t="str">
        <f t="shared" si="87"/>
        <v/>
      </c>
      <c r="F109" s="2" t="str">
        <f t="shared" si="87"/>
        <v/>
      </c>
      <c r="G109" s="2" t="str">
        <f t="shared" si="87"/>
        <v/>
      </c>
      <c r="H109" s="2" t="str">
        <f t="shared" si="87"/>
        <v/>
      </c>
      <c r="I109" s="2" t="str">
        <f t="shared" si="87"/>
        <v/>
      </c>
      <c r="J109" s="2" t="str">
        <f t="shared" si="87"/>
        <v/>
      </c>
      <c r="K109" s="2" t="str">
        <f t="shared" si="87"/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f t="shared" si="1"/>
        <v>0</v>
      </c>
      <c r="Z109" s="2">
        <f t="shared" si="2"/>
        <v>0</v>
      </c>
      <c r="AA109" s="2" t="e">
        <f t="shared" si="3"/>
        <v>#DIV/0!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 t="e">
        <f t="shared" si="60"/>
        <v>#VALUE!</v>
      </c>
      <c r="BF109" s="2"/>
      <c r="BG109" s="2" t="e">
        <f t="shared" si="66"/>
        <v>#VALUE!</v>
      </c>
      <c r="BH109" s="2"/>
      <c r="BI109" s="2" t="e">
        <f t="shared" si="67"/>
        <v>#VALUE!</v>
      </c>
      <c r="BJ109" s="2"/>
      <c r="BK109" s="2" t="e">
        <f t="shared" si="53"/>
        <v>#VALUE!</v>
      </c>
      <c r="BL109" s="2"/>
      <c r="BM109" s="2" t="e">
        <f t="shared" si="61"/>
        <v>#VALUE!</v>
      </c>
      <c r="BN109" s="2"/>
      <c r="BO109" s="2" t="e">
        <f t="shared" si="62"/>
        <v>#VALUE!</v>
      </c>
      <c r="BP109" s="2"/>
      <c r="BQ109" s="2" t="e">
        <f t="shared" si="63"/>
        <v>#VALUE!</v>
      </c>
      <c r="BR109" s="2"/>
      <c r="BS109" s="2" t="e">
        <f t="shared" si="64"/>
        <v>#VALUE!</v>
      </c>
      <c r="BT109" s="2"/>
      <c r="BU109" s="2"/>
      <c r="BV109" s="2"/>
      <c r="BW109" s="2" t="e">
        <f t="shared" si="14"/>
        <v>#VALUE!</v>
      </c>
      <c r="BX109" s="2" t="e">
        <f t="shared" si="15"/>
        <v>#DIV/0!</v>
      </c>
      <c r="BY109" s="2" t="e">
        <f t="shared" si="16"/>
        <v>#DIV/0!</v>
      </c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</row>
    <row r="110" spans="1:129" ht="14.25" customHeight="1">
      <c r="A110" s="3"/>
      <c r="B110" s="2" t="str">
        <f t="shared" si="55"/>
        <v/>
      </c>
      <c r="C110" s="2" t="str">
        <f t="shared" ref="C110:K110" si="88">IF($A110="", "", VLOOKUP($A110, $A$2:$BY$77, COLUMN(C$1), FALSE))</f>
        <v/>
      </c>
      <c r="D110" s="2" t="str">
        <f t="shared" si="88"/>
        <v/>
      </c>
      <c r="E110" s="2" t="str">
        <f t="shared" si="88"/>
        <v/>
      </c>
      <c r="F110" s="2" t="str">
        <f t="shared" si="88"/>
        <v/>
      </c>
      <c r="G110" s="2" t="str">
        <f t="shared" si="88"/>
        <v/>
      </c>
      <c r="H110" s="2" t="str">
        <f t="shared" si="88"/>
        <v/>
      </c>
      <c r="I110" s="2" t="str">
        <f t="shared" si="88"/>
        <v/>
      </c>
      <c r="J110" s="2" t="str">
        <f t="shared" si="88"/>
        <v/>
      </c>
      <c r="K110" s="2" t="str">
        <f t="shared" si="88"/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f t="shared" si="1"/>
        <v>0</v>
      </c>
      <c r="Z110" s="2">
        <f t="shared" si="2"/>
        <v>0</v>
      </c>
      <c r="AA110" s="2" t="e">
        <f t="shared" si="3"/>
        <v>#DIV/0!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 t="e">
        <f t="shared" si="60"/>
        <v>#VALUE!</v>
      </c>
      <c r="BF110" s="2"/>
      <c r="BG110" s="2" t="e">
        <f t="shared" si="66"/>
        <v>#VALUE!</v>
      </c>
      <c r="BH110" s="2"/>
      <c r="BI110" s="2" t="e">
        <f t="shared" si="67"/>
        <v>#VALUE!</v>
      </c>
      <c r="BJ110" s="2"/>
      <c r="BK110" s="2" t="e">
        <f t="shared" si="53"/>
        <v>#VALUE!</v>
      </c>
      <c r="BL110" s="2"/>
      <c r="BM110" s="2" t="e">
        <f t="shared" si="61"/>
        <v>#VALUE!</v>
      </c>
      <c r="BN110" s="2"/>
      <c r="BO110" s="2" t="e">
        <f t="shared" si="62"/>
        <v>#VALUE!</v>
      </c>
      <c r="BP110" s="2"/>
      <c r="BQ110" s="2" t="e">
        <f t="shared" si="63"/>
        <v>#VALUE!</v>
      </c>
      <c r="BR110" s="2"/>
      <c r="BS110" s="2" t="e">
        <f t="shared" si="64"/>
        <v>#VALUE!</v>
      </c>
      <c r="BT110" s="2"/>
      <c r="BU110" s="2" t="e">
        <f t="shared" ref="BU110:BU117" si="89">BT110/I110</f>
        <v>#VALUE!</v>
      </c>
      <c r="BV110" s="2"/>
      <c r="BW110" s="2" t="e">
        <f t="shared" si="14"/>
        <v>#VALUE!</v>
      </c>
      <c r="BX110" s="2" t="e">
        <f t="shared" si="15"/>
        <v>#DIV/0!</v>
      </c>
      <c r="BY110" s="2" t="e">
        <f t="shared" si="16"/>
        <v>#DIV/0!</v>
      </c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</row>
    <row r="111" spans="1:129" ht="14.25" customHeight="1">
      <c r="A111" s="3"/>
      <c r="B111" s="2" t="str">
        <f t="shared" si="55"/>
        <v/>
      </c>
      <c r="C111" s="2" t="str">
        <f t="shared" ref="C111:K111" si="90">IF($A111="", "", VLOOKUP($A111, $A$2:$BY$77, COLUMN(C$1), FALSE))</f>
        <v/>
      </c>
      <c r="D111" s="2" t="str">
        <f t="shared" si="90"/>
        <v/>
      </c>
      <c r="E111" s="2" t="str">
        <f t="shared" si="90"/>
        <v/>
      </c>
      <c r="F111" s="2" t="str">
        <f t="shared" si="90"/>
        <v/>
      </c>
      <c r="G111" s="2" t="str">
        <f t="shared" si="90"/>
        <v/>
      </c>
      <c r="H111" s="2" t="str">
        <f t="shared" si="90"/>
        <v/>
      </c>
      <c r="I111" s="2" t="str">
        <f t="shared" si="90"/>
        <v/>
      </c>
      <c r="J111" s="2" t="str">
        <f t="shared" si="90"/>
        <v/>
      </c>
      <c r="K111" s="2" t="str">
        <f t="shared" si="90"/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>
        <f t="shared" si="1"/>
        <v>0</v>
      </c>
      <c r="Z111" s="2">
        <f t="shared" si="2"/>
        <v>0</v>
      </c>
      <c r="AA111" s="2" t="e">
        <f t="shared" si="3"/>
        <v>#DIV/0!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 t="e">
        <f t="shared" si="60"/>
        <v>#VALUE!</v>
      </c>
      <c r="BF111" s="2"/>
      <c r="BG111" s="2" t="e">
        <f t="shared" si="66"/>
        <v>#VALUE!</v>
      </c>
      <c r="BH111" s="2"/>
      <c r="BI111" s="2" t="e">
        <f t="shared" si="67"/>
        <v>#VALUE!</v>
      </c>
      <c r="BJ111" s="2"/>
      <c r="BK111" s="2" t="e">
        <f t="shared" si="53"/>
        <v>#VALUE!</v>
      </c>
      <c r="BL111" s="2"/>
      <c r="BM111" s="2" t="e">
        <f t="shared" si="61"/>
        <v>#VALUE!</v>
      </c>
      <c r="BN111" s="2"/>
      <c r="BO111" s="2" t="e">
        <f t="shared" si="62"/>
        <v>#VALUE!</v>
      </c>
      <c r="BP111" s="2"/>
      <c r="BQ111" s="2" t="e">
        <f t="shared" si="63"/>
        <v>#VALUE!</v>
      </c>
      <c r="BR111" s="2"/>
      <c r="BS111" s="2" t="e">
        <f t="shared" si="64"/>
        <v>#VALUE!</v>
      </c>
      <c r="BT111" s="2"/>
      <c r="BU111" s="2" t="e">
        <f t="shared" si="89"/>
        <v>#VALUE!</v>
      </c>
      <c r="BV111" s="2"/>
      <c r="BW111" s="2" t="e">
        <f t="shared" si="14"/>
        <v>#VALUE!</v>
      </c>
      <c r="BX111" s="2" t="e">
        <f t="shared" si="15"/>
        <v>#DIV/0!</v>
      </c>
      <c r="BY111" s="2" t="e">
        <f t="shared" si="16"/>
        <v>#DIV/0!</v>
      </c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</row>
    <row r="112" spans="1:129" ht="14.25" customHeight="1">
      <c r="A112" s="3"/>
      <c r="B112" s="2" t="str">
        <f t="shared" si="55"/>
        <v/>
      </c>
      <c r="C112" s="2" t="str">
        <f t="shared" ref="C112:K112" si="91">IF($A112="", "", VLOOKUP($A112, $A$2:$BY$77, COLUMN(C$1), FALSE))</f>
        <v/>
      </c>
      <c r="D112" s="2" t="str">
        <f t="shared" si="91"/>
        <v/>
      </c>
      <c r="E112" s="2" t="str">
        <f t="shared" si="91"/>
        <v/>
      </c>
      <c r="F112" s="2" t="str">
        <f t="shared" si="91"/>
        <v/>
      </c>
      <c r="G112" s="2" t="str">
        <f t="shared" si="91"/>
        <v/>
      </c>
      <c r="H112" s="2" t="str">
        <f t="shared" si="91"/>
        <v/>
      </c>
      <c r="I112" s="2" t="str">
        <f t="shared" si="91"/>
        <v/>
      </c>
      <c r="J112" s="2" t="str">
        <f t="shared" si="91"/>
        <v/>
      </c>
      <c r="K112" s="2" t="str">
        <f t="shared" si="91"/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>
        <f t="shared" si="1"/>
        <v>0</v>
      </c>
      <c r="Z112" s="2">
        <f t="shared" si="2"/>
        <v>0</v>
      </c>
      <c r="AA112" s="2" t="e">
        <f t="shared" si="3"/>
        <v>#DIV/0!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 t="e">
        <f t="shared" si="60"/>
        <v>#VALUE!</v>
      </c>
      <c r="BF112" s="2"/>
      <c r="BG112" s="2" t="e">
        <f t="shared" si="66"/>
        <v>#VALUE!</v>
      </c>
      <c r="BH112" s="2"/>
      <c r="BI112" s="2" t="e">
        <f t="shared" si="67"/>
        <v>#VALUE!</v>
      </c>
      <c r="BJ112" s="2"/>
      <c r="BK112" s="2" t="e">
        <f t="shared" si="53"/>
        <v>#VALUE!</v>
      </c>
      <c r="BL112" s="2"/>
      <c r="BM112" s="2" t="e">
        <f t="shared" si="61"/>
        <v>#VALUE!</v>
      </c>
      <c r="BN112" s="2"/>
      <c r="BO112" s="2" t="e">
        <f t="shared" si="62"/>
        <v>#VALUE!</v>
      </c>
      <c r="BP112" s="2"/>
      <c r="BQ112" s="2" t="e">
        <f t="shared" si="63"/>
        <v>#VALUE!</v>
      </c>
      <c r="BR112" s="2"/>
      <c r="BS112" s="2" t="e">
        <f t="shared" si="64"/>
        <v>#VALUE!</v>
      </c>
      <c r="BT112" s="2"/>
      <c r="BU112" s="2" t="e">
        <f t="shared" si="89"/>
        <v>#VALUE!</v>
      </c>
      <c r="BV112" s="2"/>
      <c r="BW112" s="2" t="e">
        <f t="shared" si="14"/>
        <v>#VALUE!</v>
      </c>
      <c r="BX112" s="2" t="e">
        <f t="shared" si="15"/>
        <v>#DIV/0!</v>
      </c>
      <c r="BY112" s="2" t="e">
        <f t="shared" si="16"/>
        <v>#DIV/0!</v>
      </c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</row>
    <row r="113" spans="1:129" ht="14.25" customHeight="1">
      <c r="A113" s="3"/>
      <c r="B113" s="2" t="str">
        <f t="shared" si="55"/>
        <v/>
      </c>
      <c r="C113" s="2" t="str">
        <f t="shared" ref="C113:K113" si="92">IF($A113="", "", VLOOKUP($A113, $A$2:$BY$77, COLUMN(C$1), FALSE))</f>
        <v/>
      </c>
      <c r="D113" s="2" t="str">
        <f t="shared" si="92"/>
        <v/>
      </c>
      <c r="E113" s="2" t="str">
        <f t="shared" si="92"/>
        <v/>
      </c>
      <c r="F113" s="2" t="str">
        <f t="shared" si="92"/>
        <v/>
      </c>
      <c r="G113" s="2" t="str">
        <f t="shared" si="92"/>
        <v/>
      </c>
      <c r="H113" s="2" t="str">
        <f t="shared" si="92"/>
        <v/>
      </c>
      <c r="I113" s="2" t="str">
        <f t="shared" si="92"/>
        <v/>
      </c>
      <c r="J113" s="2" t="str">
        <f t="shared" si="92"/>
        <v/>
      </c>
      <c r="K113" s="2" t="str">
        <f t="shared" si="92"/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f t="shared" si="1"/>
        <v>0</v>
      </c>
      <c r="Z113" s="2">
        <f t="shared" si="2"/>
        <v>0</v>
      </c>
      <c r="AA113" s="2" t="e">
        <f t="shared" si="3"/>
        <v>#DIV/0!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 t="e">
        <f t="shared" si="60"/>
        <v>#VALUE!</v>
      </c>
      <c r="BF113" s="2"/>
      <c r="BG113" s="2" t="e">
        <f t="shared" si="66"/>
        <v>#VALUE!</v>
      </c>
      <c r="BH113" s="2"/>
      <c r="BI113" s="2" t="e">
        <f t="shared" si="67"/>
        <v>#VALUE!</v>
      </c>
      <c r="BJ113" s="2"/>
      <c r="BK113" s="2" t="e">
        <f t="shared" si="53"/>
        <v>#VALUE!</v>
      </c>
      <c r="BL113" s="2"/>
      <c r="BM113" s="2" t="e">
        <f t="shared" si="61"/>
        <v>#VALUE!</v>
      </c>
      <c r="BN113" s="2"/>
      <c r="BO113" s="2" t="e">
        <f t="shared" si="62"/>
        <v>#VALUE!</v>
      </c>
      <c r="BP113" s="2"/>
      <c r="BQ113" s="2" t="e">
        <f t="shared" si="63"/>
        <v>#VALUE!</v>
      </c>
      <c r="BR113" s="2"/>
      <c r="BS113" s="2" t="e">
        <f t="shared" si="64"/>
        <v>#VALUE!</v>
      </c>
      <c r="BT113" s="2"/>
      <c r="BU113" s="2" t="e">
        <f t="shared" si="89"/>
        <v>#VALUE!</v>
      </c>
      <c r="BV113" s="2"/>
      <c r="BW113" s="2" t="e">
        <f t="shared" si="14"/>
        <v>#VALUE!</v>
      </c>
      <c r="BX113" s="2" t="e">
        <f t="shared" si="15"/>
        <v>#DIV/0!</v>
      </c>
      <c r="BY113" s="2" t="e">
        <f t="shared" si="16"/>
        <v>#DIV/0!</v>
      </c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</row>
    <row r="114" spans="1:129" ht="14.25" customHeight="1">
      <c r="A114" s="3"/>
      <c r="B114" s="2" t="str">
        <f t="shared" si="55"/>
        <v/>
      </c>
      <c r="C114" s="2" t="str">
        <f t="shared" ref="C114:K114" si="93">IF($A114="", "", VLOOKUP($A114, $A$2:$BY$77, COLUMN(C$1), FALSE))</f>
        <v/>
      </c>
      <c r="D114" s="2" t="str">
        <f t="shared" si="93"/>
        <v/>
      </c>
      <c r="E114" s="2" t="str">
        <f t="shared" si="93"/>
        <v/>
      </c>
      <c r="F114" s="2" t="str">
        <f t="shared" si="93"/>
        <v/>
      </c>
      <c r="G114" s="2" t="str">
        <f t="shared" si="93"/>
        <v/>
      </c>
      <c r="H114" s="2" t="str">
        <f t="shared" si="93"/>
        <v/>
      </c>
      <c r="I114" s="2" t="str">
        <f t="shared" si="93"/>
        <v/>
      </c>
      <c r="J114" s="2" t="str">
        <f t="shared" si="93"/>
        <v/>
      </c>
      <c r="K114" s="2" t="str">
        <f t="shared" si="93"/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>
        <f t="shared" si="1"/>
        <v>0</v>
      </c>
      <c r="Z114" s="2">
        <f t="shared" si="2"/>
        <v>0</v>
      </c>
      <c r="AA114" s="2" t="e">
        <f t="shared" si="3"/>
        <v>#DIV/0!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 t="e">
        <f t="shared" si="60"/>
        <v>#VALUE!</v>
      </c>
      <c r="BF114" s="2"/>
      <c r="BG114" s="2" t="e">
        <f t="shared" si="66"/>
        <v>#VALUE!</v>
      </c>
      <c r="BH114" s="2"/>
      <c r="BI114" s="2"/>
      <c r="BJ114" s="2"/>
      <c r="BK114" s="2" t="e">
        <f t="shared" si="53"/>
        <v>#VALUE!</v>
      </c>
      <c r="BL114" s="2"/>
      <c r="BM114" s="2"/>
      <c r="BN114" s="2"/>
      <c r="BO114" s="2" t="e">
        <f t="shared" si="62"/>
        <v>#VALUE!</v>
      </c>
      <c r="BP114" s="2"/>
      <c r="BQ114" s="2" t="e">
        <f t="shared" si="63"/>
        <v>#VALUE!</v>
      </c>
      <c r="BR114" s="2"/>
      <c r="BS114" s="2" t="e">
        <f t="shared" si="64"/>
        <v>#VALUE!</v>
      </c>
      <c r="BT114" s="2"/>
      <c r="BU114" s="2" t="e">
        <f t="shared" si="89"/>
        <v>#VALUE!</v>
      </c>
      <c r="BV114" s="2"/>
      <c r="BW114" s="2" t="e">
        <f t="shared" si="14"/>
        <v>#VALUE!</v>
      </c>
      <c r="BX114" s="2" t="e">
        <f t="shared" si="15"/>
        <v>#DIV/0!</v>
      </c>
      <c r="BY114" s="2" t="e">
        <f t="shared" si="16"/>
        <v>#DIV/0!</v>
      </c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</row>
    <row r="115" spans="1:129" ht="14.25" customHeight="1">
      <c r="A115" s="3"/>
      <c r="B115" s="2" t="str">
        <f t="shared" si="55"/>
        <v/>
      </c>
      <c r="C115" s="2" t="str">
        <f t="shared" ref="C115:K115" si="94">IF($A115="", "", VLOOKUP($A115, $A$2:$BY$77, COLUMN(C$1), FALSE))</f>
        <v/>
      </c>
      <c r="D115" s="2" t="str">
        <f t="shared" si="94"/>
        <v/>
      </c>
      <c r="E115" s="2" t="str">
        <f t="shared" si="94"/>
        <v/>
      </c>
      <c r="F115" s="2" t="str">
        <f t="shared" si="94"/>
        <v/>
      </c>
      <c r="G115" s="2" t="str">
        <f t="shared" si="94"/>
        <v/>
      </c>
      <c r="H115" s="2" t="str">
        <f t="shared" si="94"/>
        <v/>
      </c>
      <c r="I115" s="2" t="str">
        <f t="shared" si="94"/>
        <v/>
      </c>
      <c r="J115" s="2" t="str">
        <f t="shared" si="94"/>
        <v/>
      </c>
      <c r="K115" s="2" t="str">
        <f t="shared" si="94"/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>
        <f t="shared" si="1"/>
        <v>0</v>
      </c>
      <c r="Z115" s="2">
        <f t="shared" si="2"/>
        <v>0</v>
      </c>
      <c r="AA115" s="2" t="e">
        <f t="shared" si="3"/>
        <v>#DIV/0!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 t="e">
        <f t="shared" si="60"/>
        <v>#VALUE!</v>
      </c>
      <c r="BF115" s="2"/>
      <c r="BG115" s="2" t="e">
        <f t="shared" si="66"/>
        <v>#VALUE!</v>
      </c>
      <c r="BH115" s="2"/>
      <c r="BI115" s="2"/>
      <c r="BJ115" s="2"/>
      <c r="BK115" s="2" t="e">
        <f t="shared" si="53"/>
        <v>#VALUE!</v>
      </c>
      <c r="BL115" s="2"/>
      <c r="BM115" s="2"/>
      <c r="BN115" s="2"/>
      <c r="BO115" s="2" t="e">
        <f t="shared" si="62"/>
        <v>#VALUE!</v>
      </c>
      <c r="BP115" s="2"/>
      <c r="BQ115" s="2" t="e">
        <f t="shared" si="63"/>
        <v>#VALUE!</v>
      </c>
      <c r="BR115" s="2"/>
      <c r="BS115" s="2" t="e">
        <f t="shared" si="64"/>
        <v>#VALUE!</v>
      </c>
      <c r="BT115" s="2"/>
      <c r="BU115" s="2" t="e">
        <f t="shared" si="89"/>
        <v>#VALUE!</v>
      </c>
      <c r="BV115" s="2"/>
      <c r="BW115" s="2" t="e">
        <f t="shared" si="14"/>
        <v>#VALUE!</v>
      </c>
      <c r="BX115" s="2" t="e">
        <f t="shared" si="15"/>
        <v>#DIV/0!</v>
      </c>
      <c r="BY115" s="2" t="e">
        <f t="shared" si="16"/>
        <v>#DIV/0!</v>
      </c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</row>
    <row r="116" spans="1:129" ht="14.25" customHeight="1">
      <c r="A116" s="3"/>
      <c r="B116" s="2" t="str">
        <f t="shared" si="55"/>
        <v/>
      </c>
      <c r="C116" s="2" t="str">
        <f t="shared" ref="C116:K116" si="95">IF($A116="", "", VLOOKUP($A116, $A$2:$BY$77, COLUMN(C$1), FALSE))</f>
        <v/>
      </c>
      <c r="D116" s="2" t="str">
        <f t="shared" si="95"/>
        <v/>
      </c>
      <c r="E116" s="2" t="str">
        <f t="shared" si="95"/>
        <v/>
      </c>
      <c r="F116" s="2" t="str">
        <f t="shared" si="95"/>
        <v/>
      </c>
      <c r="G116" s="2" t="str">
        <f t="shared" si="95"/>
        <v/>
      </c>
      <c r="H116" s="2" t="str">
        <f t="shared" si="95"/>
        <v/>
      </c>
      <c r="I116" s="2" t="str">
        <f t="shared" si="95"/>
        <v/>
      </c>
      <c r="J116" s="2" t="str">
        <f t="shared" si="95"/>
        <v/>
      </c>
      <c r="K116" s="2" t="str">
        <f t="shared" si="95"/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>
        <f t="shared" si="1"/>
        <v>0</v>
      </c>
      <c r="Z116" s="2">
        <f t="shared" si="2"/>
        <v>0</v>
      </c>
      <c r="AA116" s="2" t="e">
        <f t="shared" si="3"/>
        <v>#DIV/0!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 t="e">
        <f t="shared" si="60"/>
        <v>#VALUE!</v>
      </c>
      <c r="BF116" s="2"/>
      <c r="BG116" s="2"/>
      <c r="BH116" s="2"/>
      <c r="BI116" s="2"/>
      <c r="BJ116" s="2"/>
      <c r="BK116" s="2" t="e">
        <f t="shared" si="53"/>
        <v>#VALUE!</v>
      </c>
      <c r="BL116" s="2"/>
      <c r="BM116" s="2"/>
      <c r="BN116" s="2"/>
      <c r="BO116" s="2"/>
      <c r="BP116" s="2"/>
      <c r="BQ116" s="2" t="e">
        <f t="shared" si="63"/>
        <v>#VALUE!</v>
      </c>
      <c r="BR116" s="2"/>
      <c r="BS116" s="2" t="e">
        <f t="shared" si="64"/>
        <v>#VALUE!</v>
      </c>
      <c r="BT116" s="2"/>
      <c r="BU116" s="2" t="e">
        <f t="shared" si="89"/>
        <v>#VALUE!</v>
      </c>
      <c r="BV116" s="2"/>
      <c r="BW116" s="2" t="e">
        <f t="shared" si="14"/>
        <v>#VALUE!</v>
      </c>
      <c r="BX116" s="2" t="e">
        <f t="shared" si="15"/>
        <v>#DIV/0!</v>
      </c>
      <c r="BY116" s="2" t="e">
        <f t="shared" si="16"/>
        <v>#DIV/0!</v>
      </c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</row>
    <row r="117" spans="1:129" ht="14.25" customHeight="1">
      <c r="A117" s="3"/>
      <c r="B117" s="2" t="str">
        <f t="shared" si="55"/>
        <v/>
      </c>
      <c r="C117" s="2" t="str">
        <f t="shared" ref="C117:K117" si="96">IF($A117="", "", VLOOKUP($A117, $A$2:$BY$77, COLUMN(C$1), FALSE))</f>
        <v/>
      </c>
      <c r="D117" s="2" t="str">
        <f t="shared" si="96"/>
        <v/>
      </c>
      <c r="E117" s="2" t="str">
        <f t="shared" si="96"/>
        <v/>
      </c>
      <c r="F117" s="2" t="str">
        <f t="shared" si="96"/>
        <v/>
      </c>
      <c r="G117" s="2" t="str">
        <f t="shared" si="96"/>
        <v/>
      </c>
      <c r="H117" s="2" t="str">
        <f t="shared" si="96"/>
        <v/>
      </c>
      <c r="I117" s="2" t="str">
        <f t="shared" si="96"/>
        <v/>
      </c>
      <c r="J117" s="2" t="str">
        <f t="shared" si="96"/>
        <v/>
      </c>
      <c r="K117" s="2" t="str">
        <f t="shared" si="96"/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>
        <f t="shared" si="1"/>
        <v>0</v>
      </c>
      <c r="Z117" s="2">
        <f t="shared" si="2"/>
        <v>0</v>
      </c>
      <c r="AA117" s="2" t="e">
        <f t="shared" si="3"/>
        <v>#DIV/0!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 t="e">
        <f t="shared" si="60"/>
        <v>#VALUE!</v>
      </c>
      <c r="BF117" s="2"/>
      <c r="BG117" s="2"/>
      <c r="BH117" s="2"/>
      <c r="BI117" s="2"/>
      <c r="BJ117" s="2"/>
      <c r="BK117" s="2" t="e">
        <f t="shared" si="53"/>
        <v>#VALUE!</v>
      </c>
      <c r="BL117" s="2"/>
      <c r="BM117" s="2"/>
      <c r="BN117" s="2"/>
      <c r="BO117" s="2"/>
      <c r="BP117" s="2"/>
      <c r="BQ117" s="2"/>
      <c r="BR117" s="2"/>
      <c r="BS117" s="2" t="e">
        <f t="shared" si="64"/>
        <v>#VALUE!</v>
      </c>
      <c r="BT117" s="2"/>
      <c r="BU117" s="2" t="e">
        <f t="shared" si="89"/>
        <v>#VALUE!</v>
      </c>
      <c r="BV117" s="2"/>
      <c r="BW117" s="2" t="e">
        <f t="shared" si="14"/>
        <v>#VALUE!</v>
      </c>
      <c r="BX117" s="2" t="e">
        <f t="shared" si="15"/>
        <v>#DIV/0!</v>
      </c>
      <c r="BY117" s="2" t="e">
        <f t="shared" si="16"/>
        <v>#DIV/0!</v>
      </c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</row>
    <row r="118" spans="1:129" ht="14.25" customHeight="1">
      <c r="A118" s="3"/>
      <c r="B118" s="2" t="str">
        <f t="shared" si="55"/>
        <v/>
      </c>
      <c r="C118" s="2" t="str">
        <f t="shared" ref="C118:K118" si="97">IF($A118="", "", VLOOKUP($A118, $A$2:$BY$77, COLUMN(C$1), FALSE))</f>
        <v/>
      </c>
      <c r="D118" s="2" t="str">
        <f t="shared" si="97"/>
        <v/>
      </c>
      <c r="E118" s="2" t="str">
        <f t="shared" si="97"/>
        <v/>
      </c>
      <c r="F118" s="2" t="str">
        <f t="shared" si="97"/>
        <v/>
      </c>
      <c r="G118" s="2" t="str">
        <f t="shared" si="97"/>
        <v/>
      </c>
      <c r="H118" s="2" t="str">
        <f t="shared" si="97"/>
        <v/>
      </c>
      <c r="I118" s="2" t="str">
        <f t="shared" si="97"/>
        <v/>
      </c>
      <c r="J118" s="2" t="str">
        <f t="shared" si="97"/>
        <v/>
      </c>
      <c r="K118" s="2" t="str">
        <f t="shared" si="97"/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>
        <f t="shared" si="1"/>
        <v>0</v>
      </c>
      <c r="Z118" s="2">
        <f t="shared" si="2"/>
        <v>0</v>
      </c>
      <c r="AA118" s="2" t="e">
        <f t="shared" si="3"/>
        <v>#DIV/0!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 t="e">
        <f t="shared" si="60"/>
        <v>#VALUE!</v>
      </c>
      <c r="BF118" s="2"/>
      <c r="BG118" s="2"/>
      <c r="BH118" s="2"/>
      <c r="BI118" s="2"/>
      <c r="BJ118" s="2"/>
      <c r="BK118" s="2" t="e">
        <f t="shared" si="53"/>
        <v>#VALUE!</v>
      </c>
      <c r="BL118" s="2"/>
      <c r="BM118" s="2"/>
      <c r="BN118" s="2"/>
      <c r="BO118" s="2"/>
      <c r="BP118" s="2"/>
      <c r="BQ118" s="2"/>
      <c r="BR118" s="2"/>
      <c r="BS118" s="2" t="e">
        <f t="shared" si="64"/>
        <v>#VALUE!</v>
      </c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</row>
    <row r="119" spans="1:129" ht="14.25" customHeight="1">
      <c r="A119" s="3"/>
      <c r="B119" s="2" t="str">
        <f t="shared" si="55"/>
        <v/>
      </c>
      <c r="C119" s="2" t="str">
        <f t="shared" ref="C119:K119" si="98">IF($A119="", "", VLOOKUP($A119, $A$2:$BY$77, COLUMN(C$1), FALSE))</f>
        <v/>
      </c>
      <c r="D119" s="2" t="str">
        <f t="shared" si="98"/>
        <v/>
      </c>
      <c r="E119" s="2" t="str">
        <f t="shared" si="98"/>
        <v/>
      </c>
      <c r="F119" s="2" t="str">
        <f t="shared" si="98"/>
        <v/>
      </c>
      <c r="G119" s="2" t="str">
        <f t="shared" si="98"/>
        <v/>
      </c>
      <c r="H119" s="2" t="str">
        <f t="shared" si="98"/>
        <v/>
      </c>
      <c r="I119" s="2" t="str">
        <f t="shared" si="98"/>
        <v/>
      </c>
      <c r="J119" s="2" t="str">
        <f t="shared" si="98"/>
        <v/>
      </c>
      <c r="K119" s="2" t="str">
        <f t="shared" si="98"/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>
        <f t="shared" si="1"/>
        <v>0</v>
      </c>
      <c r="Z119" s="2">
        <f t="shared" si="2"/>
        <v>0</v>
      </c>
      <c r="AA119" s="2" t="e">
        <f t="shared" si="3"/>
        <v>#DIV/0!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 t="e">
        <f t="shared" si="60"/>
        <v>#VALUE!</v>
      </c>
      <c r="BF119" s="2"/>
      <c r="BG119" s="2"/>
      <c r="BH119" s="2"/>
      <c r="BI119" s="2"/>
      <c r="BJ119" s="2"/>
      <c r="BK119" s="2" t="e">
        <f t="shared" si="53"/>
        <v>#VALUE!</v>
      </c>
      <c r="BL119" s="2"/>
      <c r="BM119" s="2"/>
      <c r="BN119" s="2"/>
      <c r="BO119" s="2"/>
      <c r="BP119" s="2"/>
      <c r="BQ119" s="2"/>
      <c r="BR119" s="2"/>
      <c r="BS119" s="2" t="e">
        <f t="shared" si="64"/>
        <v>#VALUE!</v>
      </c>
      <c r="BT119" s="2"/>
      <c r="BU119" s="2" t="e">
        <f>BT119/I119</f>
        <v>#VALUE!</v>
      </c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</row>
    <row r="120" spans="1:129" ht="14.25" customHeight="1">
      <c r="A120" s="3"/>
      <c r="B120" s="2" t="str">
        <f t="shared" si="55"/>
        <v/>
      </c>
      <c r="C120" s="2" t="str">
        <f t="shared" ref="C120:K120" si="99">IF($A120="", "", VLOOKUP($A120, $A$2:$BY$77, COLUMN(C$1), FALSE))</f>
        <v/>
      </c>
      <c r="D120" s="2" t="str">
        <f t="shared" si="99"/>
        <v/>
      </c>
      <c r="E120" s="2" t="str">
        <f t="shared" si="99"/>
        <v/>
      </c>
      <c r="F120" s="2" t="str">
        <f t="shared" si="99"/>
        <v/>
      </c>
      <c r="G120" s="2" t="str">
        <f t="shared" si="99"/>
        <v/>
      </c>
      <c r="H120" s="2" t="str">
        <f t="shared" si="99"/>
        <v/>
      </c>
      <c r="I120" s="2" t="str">
        <f t="shared" si="99"/>
        <v/>
      </c>
      <c r="J120" s="2" t="str">
        <f t="shared" si="99"/>
        <v/>
      </c>
      <c r="K120" s="2" t="str">
        <f t="shared" si="99"/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>
        <f t="shared" si="1"/>
        <v>0</v>
      </c>
      <c r="Z120" s="2">
        <f t="shared" si="2"/>
        <v>0</v>
      </c>
      <c r="AA120" s="2" t="e">
        <f t="shared" si="3"/>
        <v>#DIV/0!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 t="e">
        <f t="shared" si="60"/>
        <v>#VALUE!</v>
      </c>
      <c r="BF120" s="2"/>
      <c r="BG120" s="2"/>
      <c r="BH120" s="2"/>
      <c r="BI120" s="2"/>
      <c r="BJ120" s="2"/>
      <c r="BK120" s="2" t="e">
        <f t="shared" si="53"/>
        <v>#VALUE!</v>
      </c>
      <c r="BL120" s="2"/>
      <c r="BM120" s="2"/>
      <c r="BN120" s="2"/>
      <c r="BO120" s="2"/>
      <c r="BP120" s="2"/>
      <c r="BQ120" s="2"/>
      <c r="BR120" s="2"/>
      <c r="BS120" s="2" t="e">
        <f t="shared" si="64"/>
        <v>#VALUE!</v>
      </c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</row>
    <row r="121" spans="1:129" ht="14.25" customHeight="1">
      <c r="A121" s="3"/>
      <c r="B121" s="2" t="str">
        <f t="shared" si="55"/>
        <v/>
      </c>
      <c r="C121" s="2" t="str">
        <f t="shared" ref="C121:K121" si="100">IF($A121="", "", VLOOKUP($A121, $A$2:$BY$77, COLUMN(C$1), FALSE))</f>
        <v/>
      </c>
      <c r="D121" s="2" t="str">
        <f t="shared" si="100"/>
        <v/>
      </c>
      <c r="E121" s="2" t="str">
        <f t="shared" si="100"/>
        <v/>
      </c>
      <c r="F121" s="2" t="str">
        <f t="shared" si="100"/>
        <v/>
      </c>
      <c r="G121" s="2" t="str">
        <f t="shared" si="100"/>
        <v/>
      </c>
      <c r="H121" s="2" t="str">
        <f t="shared" si="100"/>
        <v/>
      </c>
      <c r="I121" s="2" t="str">
        <f t="shared" si="100"/>
        <v/>
      </c>
      <c r="J121" s="2" t="str">
        <f t="shared" si="100"/>
        <v/>
      </c>
      <c r="K121" s="2" t="str">
        <f t="shared" si="100"/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>
        <f t="shared" si="1"/>
        <v>0</v>
      </c>
      <c r="Z121" s="2">
        <f t="shared" si="2"/>
        <v>0</v>
      </c>
      <c r="AA121" s="2" t="e">
        <f t="shared" si="3"/>
        <v>#DIV/0!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 t="e">
        <f t="shared" si="60"/>
        <v>#VALUE!</v>
      </c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 t="e">
        <f t="shared" si="64"/>
        <v>#VALUE!</v>
      </c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</row>
    <row r="122" spans="1:129" ht="14.25" customHeight="1">
      <c r="A122" s="3"/>
      <c r="B122" s="2" t="str">
        <f t="shared" si="55"/>
        <v/>
      </c>
      <c r="C122" s="2" t="str">
        <f t="shared" ref="C122:K122" si="101">IF($A122="", "", VLOOKUP($A122, $A$2:$BY$77, COLUMN(C$1), FALSE))</f>
        <v/>
      </c>
      <c r="D122" s="2" t="str">
        <f t="shared" si="101"/>
        <v/>
      </c>
      <c r="E122" s="2" t="str">
        <f t="shared" si="101"/>
        <v/>
      </c>
      <c r="F122" s="2" t="str">
        <f t="shared" si="101"/>
        <v/>
      </c>
      <c r="G122" s="2" t="str">
        <f t="shared" si="101"/>
        <v/>
      </c>
      <c r="H122" s="2" t="str">
        <f t="shared" si="101"/>
        <v/>
      </c>
      <c r="I122" s="2" t="str">
        <f t="shared" si="101"/>
        <v/>
      </c>
      <c r="J122" s="2" t="str">
        <f t="shared" si="101"/>
        <v/>
      </c>
      <c r="K122" s="2" t="str">
        <f t="shared" si="101"/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>
        <f t="shared" si="1"/>
        <v>0</v>
      </c>
      <c r="Z122" s="2">
        <f t="shared" si="2"/>
        <v>0</v>
      </c>
      <c r="AA122" s="2" t="e">
        <f t="shared" si="3"/>
        <v>#DIV/0!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 t="e">
        <f t="shared" si="60"/>
        <v>#VALUE!</v>
      </c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 t="e">
        <f t="shared" si="64"/>
        <v>#VALUE!</v>
      </c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</row>
    <row r="123" spans="1:129" ht="14.25" customHeight="1">
      <c r="A123" s="3"/>
      <c r="B123" s="2" t="str">
        <f t="shared" si="55"/>
        <v/>
      </c>
      <c r="C123" s="2" t="str">
        <f t="shared" ref="C123:K123" si="102">IF($A123="", "", VLOOKUP($A123, $A$2:$BY$77, COLUMN(C$1), FALSE))</f>
        <v/>
      </c>
      <c r="D123" s="2" t="str">
        <f t="shared" si="102"/>
        <v/>
      </c>
      <c r="E123" s="2" t="str">
        <f t="shared" si="102"/>
        <v/>
      </c>
      <c r="F123" s="2" t="str">
        <f t="shared" si="102"/>
        <v/>
      </c>
      <c r="G123" s="2" t="str">
        <f t="shared" si="102"/>
        <v/>
      </c>
      <c r="H123" s="2" t="str">
        <f t="shared" si="102"/>
        <v/>
      </c>
      <c r="I123" s="2" t="str">
        <f t="shared" si="102"/>
        <v/>
      </c>
      <c r="J123" s="2" t="str">
        <f t="shared" si="102"/>
        <v/>
      </c>
      <c r="K123" s="2" t="str">
        <f t="shared" si="102"/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f t="shared" si="1"/>
        <v>0</v>
      </c>
      <c r="Z123" s="2">
        <f t="shared" si="2"/>
        <v>0</v>
      </c>
      <c r="AA123" s="2" t="e">
        <f t="shared" si="3"/>
        <v>#DIV/0!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 t="e">
        <f t="shared" si="60"/>
        <v>#VALUE!</v>
      </c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 t="e">
        <f t="shared" si="64"/>
        <v>#VALUE!</v>
      </c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</row>
    <row r="124" spans="1:129" ht="14.25" customHeight="1">
      <c r="A124" s="3"/>
      <c r="B124" s="2" t="str">
        <f t="shared" si="55"/>
        <v/>
      </c>
      <c r="C124" s="2" t="str">
        <f t="shared" ref="C124:K124" si="103">IF($A124="", "", VLOOKUP($A124, $A$2:$BY$77, COLUMN(C$1), FALSE))</f>
        <v/>
      </c>
      <c r="D124" s="2" t="str">
        <f t="shared" si="103"/>
        <v/>
      </c>
      <c r="E124" s="2" t="str">
        <f t="shared" si="103"/>
        <v/>
      </c>
      <c r="F124" s="2" t="str">
        <f t="shared" si="103"/>
        <v/>
      </c>
      <c r="G124" s="2" t="str">
        <f t="shared" si="103"/>
        <v/>
      </c>
      <c r="H124" s="2" t="str">
        <f t="shared" si="103"/>
        <v/>
      </c>
      <c r="I124" s="2" t="str">
        <f t="shared" si="103"/>
        <v/>
      </c>
      <c r="J124" s="2" t="str">
        <f t="shared" si="103"/>
        <v/>
      </c>
      <c r="K124" s="2" t="str">
        <f t="shared" si="103"/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>
        <f t="shared" si="1"/>
        <v>0</v>
      </c>
      <c r="Z124" s="2">
        <f t="shared" si="2"/>
        <v>0</v>
      </c>
      <c r="AA124" s="2" t="e">
        <f t="shared" si="3"/>
        <v>#DIV/0!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 t="e">
        <f t="shared" si="60"/>
        <v>#VALUE!</v>
      </c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 t="e">
        <f t="shared" si="64"/>
        <v>#VALUE!</v>
      </c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</row>
    <row r="125" spans="1:129" ht="14.25" customHeight="1">
      <c r="A125" s="3"/>
      <c r="B125" s="2" t="str">
        <f t="shared" si="55"/>
        <v/>
      </c>
      <c r="C125" s="2" t="str">
        <f t="shared" ref="C125:K125" si="104">IF($A125="", "", VLOOKUP($A125, $A$2:$BY$77, COLUMN(C$1), FALSE))</f>
        <v/>
      </c>
      <c r="D125" s="2" t="str">
        <f t="shared" si="104"/>
        <v/>
      </c>
      <c r="E125" s="2" t="str">
        <f t="shared" si="104"/>
        <v/>
      </c>
      <c r="F125" s="2" t="str">
        <f t="shared" si="104"/>
        <v/>
      </c>
      <c r="G125" s="2" t="str">
        <f t="shared" si="104"/>
        <v/>
      </c>
      <c r="H125" s="2" t="str">
        <f t="shared" si="104"/>
        <v/>
      </c>
      <c r="I125" s="2" t="str">
        <f t="shared" si="104"/>
        <v/>
      </c>
      <c r="J125" s="2" t="str">
        <f t="shared" si="104"/>
        <v/>
      </c>
      <c r="K125" s="2" t="str">
        <f t="shared" si="104"/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 t="e">
        <f t="shared" si="3"/>
        <v>#DIV/0!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 t="e">
        <f t="shared" si="60"/>
        <v>#VALUE!</v>
      </c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 t="e">
        <f t="shared" si="64"/>
        <v>#VALUE!</v>
      </c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</row>
    <row r="126" spans="1:129" ht="14.25" customHeight="1">
      <c r="A126" s="3"/>
      <c r="B126" s="2" t="str">
        <f t="shared" si="55"/>
        <v/>
      </c>
      <c r="C126" s="2" t="str">
        <f t="shared" ref="C126:K126" si="105">IF($A126="", "", VLOOKUP($A126, $A$2:$BY$77, COLUMN(C$1), FALSE))</f>
        <v/>
      </c>
      <c r="D126" s="2" t="str">
        <f t="shared" si="105"/>
        <v/>
      </c>
      <c r="E126" s="2" t="str">
        <f t="shared" si="105"/>
        <v/>
      </c>
      <c r="F126" s="2" t="str">
        <f t="shared" si="105"/>
        <v/>
      </c>
      <c r="G126" s="2" t="str">
        <f t="shared" si="105"/>
        <v/>
      </c>
      <c r="H126" s="2" t="str">
        <f t="shared" si="105"/>
        <v/>
      </c>
      <c r="I126" s="2" t="str">
        <f t="shared" si="105"/>
        <v/>
      </c>
      <c r="J126" s="2" t="str">
        <f t="shared" si="105"/>
        <v/>
      </c>
      <c r="K126" s="2" t="str">
        <f t="shared" si="105"/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 t="e">
        <f t="shared" si="3"/>
        <v>#DIV/0!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 t="e">
        <f t="shared" si="60"/>
        <v>#VALUE!</v>
      </c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 t="e">
        <f t="shared" si="64"/>
        <v>#VALUE!</v>
      </c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</row>
    <row r="127" spans="1:129" ht="14.25" customHeight="1">
      <c r="A127" s="3"/>
      <c r="B127" s="2" t="str">
        <f t="shared" si="55"/>
        <v/>
      </c>
      <c r="C127" s="2" t="str">
        <f t="shared" ref="C127:K127" si="106">IF($A127="", "", VLOOKUP($A127, $A$2:$BY$77, COLUMN(C$1), FALSE))</f>
        <v/>
      </c>
      <c r="D127" s="2" t="str">
        <f t="shared" si="106"/>
        <v/>
      </c>
      <c r="E127" s="2" t="str">
        <f t="shared" si="106"/>
        <v/>
      </c>
      <c r="F127" s="2" t="str">
        <f t="shared" si="106"/>
        <v/>
      </c>
      <c r="G127" s="2" t="str">
        <f t="shared" si="106"/>
        <v/>
      </c>
      <c r="H127" s="2" t="str">
        <f t="shared" si="106"/>
        <v/>
      </c>
      <c r="I127" s="2" t="str">
        <f t="shared" si="106"/>
        <v/>
      </c>
      <c r="J127" s="2" t="str">
        <f t="shared" si="106"/>
        <v/>
      </c>
      <c r="K127" s="2" t="str">
        <f t="shared" si="106"/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e">
        <f t="shared" si="3"/>
        <v>#DIV/0!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 t="e">
        <f t="shared" si="60"/>
        <v>#VALUE!</v>
      </c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</row>
    <row r="128" spans="1:129" ht="14.25" customHeight="1">
      <c r="A128" s="3"/>
      <c r="B128" s="2" t="str">
        <f t="shared" si="55"/>
        <v/>
      </c>
      <c r="C128" s="2" t="str">
        <f t="shared" ref="C128:K128" si="107">IF($A128="", "", VLOOKUP($A128, $A$2:$BY$77, COLUMN(C$1), FALSE))</f>
        <v/>
      </c>
      <c r="D128" s="2" t="str">
        <f t="shared" si="107"/>
        <v/>
      </c>
      <c r="E128" s="2" t="str">
        <f t="shared" si="107"/>
        <v/>
      </c>
      <c r="F128" s="2" t="str">
        <f t="shared" si="107"/>
        <v/>
      </c>
      <c r="G128" s="2" t="str">
        <f t="shared" si="107"/>
        <v/>
      </c>
      <c r="H128" s="2" t="str">
        <f t="shared" si="107"/>
        <v/>
      </c>
      <c r="I128" s="2" t="str">
        <f t="shared" si="107"/>
        <v/>
      </c>
      <c r="J128" s="2" t="str">
        <f t="shared" si="107"/>
        <v/>
      </c>
      <c r="K128" s="2" t="str">
        <f t="shared" si="107"/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 t="e">
        <f t="shared" si="3"/>
        <v>#DIV/0!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 t="e">
        <f t="shared" si="60"/>
        <v>#VALUE!</v>
      </c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</row>
    <row r="129" spans="1:129" ht="14.25" customHeight="1">
      <c r="A129" s="3"/>
      <c r="B129" s="2" t="str">
        <f t="shared" si="55"/>
        <v/>
      </c>
      <c r="C129" s="2" t="str">
        <f t="shared" ref="C129:K129" si="108">IF($A129="", "", VLOOKUP($A129, $A$2:$BY$77, COLUMN(C$1), FALSE))</f>
        <v/>
      </c>
      <c r="D129" s="2" t="str">
        <f t="shared" si="108"/>
        <v/>
      </c>
      <c r="E129" s="2" t="str">
        <f t="shared" si="108"/>
        <v/>
      </c>
      <c r="F129" s="2" t="str">
        <f t="shared" si="108"/>
        <v/>
      </c>
      <c r="G129" s="2" t="str">
        <f t="shared" si="108"/>
        <v/>
      </c>
      <c r="H129" s="2" t="str">
        <f t="shared" si="108"/>
        <v/>
      </c>
      <c r="I129" s="2" t="str">
        <f t="shared" si="108"/>
        <v/>
      </c>
      <c r="J129" s="2" t="str">
        <f t="shared" si="108"/>
        <v/>
      </c>
      <c r="K129" s="2" t="str">
        <f t="shared" si="108"/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 t="e">
        <f t="shared" si="3"/>
        <v>#DIV/0!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 t="e">
        <f t="shared" si="60"/>
        <v>#VALUE!</v>
      </c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</row>
    <row r="130" spans="1:129" ht="14.25" customHeight="1">
      <c r="A130" s="3"/>
      <c r="B130" s="2" t="str">
        <f t="shared" si="55"/>
        <v/>
      </c>
      <c r="C130" s="2" t="str">
        <f t="shared" ref="C130:K130" si="109">IF($A130="", "", VLOOKUP($A130, $A$2:$BY$77, COLUMN(C$1), FALSE))</f>
        <v/>
      </c>
      <c r="D130" s="2" t="str">
        <f t="shared" si="109"/>
        <v/>
      </c>
      <c r="E130" s="2" t="str">
        <f t="shared" si="109"/>
        <v/>
      </c>
      <c r="F130" s="2" t="str">
        <f t="shared" si="109"/>
        <v/>
      </c>
      <c r="G130" s="2" t="str">
        <f t="shared" si="109"/>
        <v/>
      </c>
      <c r="H130" s="2" t="str">
        <f t="shared" si="109"/>
        <v/>
      </c>
      <c r="I130" s="2" t="str">
        <f t="shared" si="109"/>
        <v/>
      </c>
      <c r="J130" s="2" t="str">
        <f t="shared" si="109"/>
        <v/>
      </c>
      <c r="K130" s="2" t="str">
        <f t="shared" si="109"/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 t="e">
        <f t="shared" si="3"/>
        <v>#DIV/0!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 t="e">
        <f t="shared" si="60"/>
        <v>#VALUE!</v>
      </c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</row>
    <row r="131" spans="1:129" ht="14.25" customHeight="1">
      <c r="A131" s="3"/>
      <c r="B131" s="2" t="str">
        <f t="shared" si="55"/>
        <v/>
      </c>
      <c r="C131" s="2" t="str">
        <f t="shared" ref="C131:K131" si="110">IF($A131="", "", VLOOKUP($A131, $A$2:$BY$77, COLUMN(C$1), FALSE))</f>
        <v/>
      </c>
      <c r="D131" s="2" t="str">
        <f t="shared" si="110"/>
        <v/>
      </c>
      <c r="E131" s="2" t="str">
        <f t="shared" si="110"/>
        <v/>
      </c>
      <c r="F131" s="2" t="str">
        <f t="shared" si="110"/>
        <v/>
      </c>
      <c r="G131" s="2" t="str">
        <f t="shared" si="110"/>
        <v/>
      </c>
      <c r="H131" s="2" t="str">
        <f t="shared" si="110"/>
        <v/>
      </c>
      <c r="I131" s="2" t="str">
        <f t="shared" si="110"/>
        <v/>
      </c>
      <c r="J131" s="2" t="str">
        <f t="shared" si="110"/>
        <v/>
      </c>
      <c r="K131" s="2" t="str">
        <f t="shared" si="110"/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 t="e">
        <f t="shared" si="3"/>
        <v>#DIV/0!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 t="e">
        <f t="shared" si="60"/>
        <v>#VALUE!</v>
      </c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</row>
    <row r="132" spans="1:129" ht="14.25" customHeight="1">
      <c r="A132" s="3"/>
      <c r="B132" s="2" t="str">
        <f t="shared" si="55"/>
        <v/>
      </c>
      <c r="C132" s="2" t="str">
        <f t="shared" ref="C132:K132" si="111">IF($A132="", "", VLOOKUP($A132, $A$2:$BY$77, COLUMN(C$1), FALSE))</f>
        <v/>
      </c>
      <c r="D132" s="2" t="str">
        <f t="shared" si="111"/>
        <v/>
      </c>
      <c r="E132" s="2" t="str">
        <f t="shared" si="111"/>
        <v/>
      </c>
      <c r="F132" s="2" t="str">
        <f t="shared" si="111"/>
        <v/>
      </c>
      <c r="G132" s="2" t="str">
        <f t="shared" si="111"/>
        <v/>
      </c>
      <c r="H132" s="2" t="str">
        <f t="shared" si="111"/>
        <v/>
      </c>
      <c r="I132" s="2" t="str">
        <f t="shared" si="111"/>
        <v/>
      </c>
      <c r="J132" s="2" t="str">
        <f t="shared" si="111"/>
        <v/>
      </c>
      <c r="K132" s="2" t="str">
        <f t="shared" si="111"/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 t="e">
        <f t="shared" si="3"/>
        <v>#DIV/0!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</row>
    <row r="133" spans="1:129" ht="14.25" customHeight="1">
      <c r="A133" s="3"/>
      <c r="B133" s="2" t="str">
        <f t="shared" si="55"/>
        <v/>
      </c>
      <c r="C133" s="2" t="str">
        <f t="shared" ref="C133:K133" si="112">IF($A133="", "", VLOOKUP($A133, $A$2:$BY$77, COLUMN(C$1), FALSE))</f>
        <v/>
      </c>
      <c r="D133" s="2" t="str">
        <f t="shared" si="112"/>
        <v/>
      </c>
      <c r="E133" s="2" t="str">
        <f t="shared" si="112"/>
        <v/>
      </c>
      <c r="F133" s="2" t="str">
        <f t="shared" si="112"/>
        <v/>
      </c>
      <c r="G133" s="2" t="str">
        <f t="shared" si="112"/>
        <v/>
      </c>
      <c r="H133" s="2" t="str">
        <f t="shared" si="112"/>
        <v/>
      </c>
      <c r="I133" s="2" t="str">
        <f t="shared" si="112"/>
        <v/>
      </c>
      <c r="J133" s="2" t="str">
        <f t="shared" si="112"/>
        <v/>
      </c>
      <c r="K133" s="2" t="str">
        <f t="shared" si="112"/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 t="e">
        <f t="shared" si="3"/>
        <v>#DIV/0!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</row>
    <row r="134" spans="1:129" ht="14.25" customHeight="1">
      <c r="A134" s="3"/>
      <c r="B134" s="2" t="str">
        <f t="shared" si="55"/>
        <v/>
      </c>
      <c r="C134" s="2" t="str">
        <f t="shared" ref="C134:K134" si="113">IF($A134="", "", VLOOKUP($A134, $A$2:$BY$77, COLUMN(C$1), FALSE))</f>
        <v/>
      </c>
      <c r="D134" s="2" t="str">
        <f t="shared" si="113"/>
        <v/>
      </c>
      <c r="E134" s="2" t="str">
        <f t="shared" si="113"/>
        <v/>
      </c>
      <c r="F134" s="2" t="str">
        <f t="shared" si="113"/>
        <v/>
      </c>
      <c r="G134" s="2" t="str">
        <f t="shared" si="113"/>
        <v/>
      </c>
      <c r="H134" s="2" t="str">
        <f t="shared" si="113"/>
        <v/>
      </c>
      <c r="I134" s="2" t="str">
        <f t="shared" si="113"/>
        <v/>
      </c>
      <c r="J134" s="2" t="str">
        <f t="shared" si="113"/>
        <v/>
      </c>
      <c r="K134" s="2" t="str">
        <f t="shared" si="113"/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 t="e">
        <f t="shared" si="3"/>
        <v>#DIV/0!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</row>
    <row r="135" spans="1:129" ht="14.25" customHeight="1">
      <c r="A135" s="3"/>
      <c r="B135" s="2" t="str">
        <f t="shared" si="55"/>
        <v/>
      </c>
      <c r="C135" s="2" t="str">
        <f t="shared" ref="C135:K135" si="114">IF($A135="", "", VLOOKUP($A135, $A$2:$BY$77, COLUMN(C$1), FALSE))</f>
        <v/>
      </c>
      <c r="D135" s="2" t="str">
        <f t="shared" si="114"/>
        <v/>
      </c>
      <c r="E135" s="2" t="str">
        <f t="shared" si="114"/>
        <v/>
      </c>
      <c r="F135" s="2" t="str">
        <f t="shared" si="114"/>
        <v/>
      </c>
      <c r="G135" s="2" t="str">
        <f t="shared" si="114"/>
        <v/>
      </c>
      <c r="H135" s="2" t="str">
        <f t="shared" si="114"/>
        <v/>
      </c>
      <c r="I135" s="2" t="str">
        <f t="shared" si="114"/>
        <v/>
      </c>
      <c r="J135" s="2" t="str">
        <f t="shared" si="114"/>
        <v/>
      </c>
      <c r="K135" s="2" t="str">
        <f t="shared" si="114"/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 t="e">
        <f t="shared" si="3"/>
        <v>#DIV/0!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</row>
    <row r="136" spans="1:129" ht="14.25" customHeight="1">
      <c r="A136" s="3"/>
      <c r="B136" s="2" t="str">
        <f t="shared" si="55"/>
        <v/>
      </c>
      <c r="C136" s="2" t="str">
        <f t="shared" ref="C136:K136" si="115">IF($A136="", "", VLOOKUP($A136, $A$2:$BY$77, COLUMN(C$1), FALSE))</f>
        <v/>
      </c>
      <c r="D136" s="2" t="str">
        <f t="shared" si="115"/>
        <v/>
      </c>
      <c r="E136" s="2" t="str">
        <f t="shared" si="115"/>
        <v/>
      </c>
      <c r="F136" s="2" t="str">
        <f t="shared" si="115"/>
        <v/>
      </c>
      <c r="G136" s="2" t="str">
        <f t="shared" si="115"/>
        <v/>
      </c>
      <c r="H136" s="2" t="str">
        <f t="shared" si="115"/>
        <v/>
      </c>
      <c r="I136" s="2" t="str">
        <f t="shared" si="115"/>
        <v/>
      </c>
      <c r="J136" s="2" t="str">
        <f t="shared" si="115"/>
        <v/>
      </c>
      <c r="K136" s="2" t="str">
        <f t="shared" si="115"/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</row>
    <row r="137" spans="1:129" ht="14.25" customHeight="1">
      <c r="A137" s="3"/>
      <c r="B137" s="2" t="str">
        <f t="shared" si="55"/>
        <v/>
      </c>
      <c r="C137" s="2" t="str">
        <f t="shared" ref="C137:K137" si="116">IF($A137="", "", VLOOKUP($A137, $A$2:$BY$77, COLUMN(C$1), FALSE))</f>
        <v/>
      </c>
      <c r="D137" s="2" t="str">
        <f t="shared" si="116"/>
        <v/>
      </c>
      <c r="E137" s="2" t="str">
        <f t="shared" si="116"/>
        <v/>
      </c>
      <c r="F137" s="2" t="str">
        <f t="shared" si="116"/>
        <v/>
      </c>
      <c r="G137" s="2" t="str">
        <f t="shared" si="116"/>
        <v/>
      </c>
      <c r="H137" s="2" t="str">
        <f t="shared" si="116"/>
        <v/>
      </c>
      <c r="I137" s="2" t="str">
        <f t="shared" si="116"/>
        <v/>
      </c>
      <c r="J137" s="2" t="str">
        <f t="shared" si="116"/>
        <v/>
      </c>
      <c r="K137" s="2" t="str">
        <f t="shared" si="116"/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</row>
    <row r="138" spans="1:129" ht="14.25" customHeight="1">
      <c r="A138" s="3"/>
      <c r="B138" s="2" t="str">
        <f t="shared" si="55"/>
        <v/>
      </c>
      <c r="C138" s="2" t="str">
        <f t="shared" ref="C138:K138" si="117">IF($A138="", "", VLOOKUP($A138, $A$2:$BY$77, COLUMN(C$1), FALSE))</f>
        <v/>
      </c>
      <c r="D138" s="2" t="str">
        <f t="shared" si="117"/>
        <v/>
      </c>
      <c r="E138" s="2" t="str">
        <f t="shared" si="117"/>
        <v/>
      </c>
      <c r="F138" s="2" t="str">
        <f t="shared" si="117"/>
        <v/>
      </c>
      <c r="G138" s="2" t="str">
        <f t="shared" si="117"/>
        <v/>
      </c>
      <c r="H138" s="2" t="str">
        <f t="shared" si="117"/>
        <v/>
      </c>
      <c r="I138" s="2" t="str">
        <f t="shared" si="117"/>
        <v/>
      </c>
      <c r="J138" s="2" t="str">
        <f t="shared" si="117"/>
        <v/>
      </c>
      <c r="K138" s="2" t="str">
        <f t="shared" si="117"/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</row>
    <row r="139" spans="1:129" ht="14.25" customHeight="1">
      <c r="A139" s="3"/>
      <c r="B139" s="2" t="str">
        <f t="shared" si="55"/>
        <v/>
      </c>
      <c r="C139" s="2" t="str">
        <f t="shared" ref="C139:K139" si="118">IF($A139="", "", VLOOKUP($A139, $A$2:$BY$77, COLUMN(C$1), FALSE))</f>
        <v/>
      </c>
      <c r="D139" s="2" t="str">
        <f t="shared" si="118"/>
        <v/>
      </c>
      <c r="E139" s="2" t="str">
        <f t="shared" si="118"/>
        <v/>
      </c>
      <c r="F139" s="2" t="str">
        <f t="shared" si="118"/>
        <v/>
      </c>
      <c r="G139" s="2" t="str">
        <f t="shared" si="118"/>
        <v/>
      </c>
      <c r="H139" s="2" t="str">
        <f t="shared" si="118"/>
        <v/>
      </c>
      <c r="I139" s="2" t="str">
        <f t="shared" si="118"/>
        <v/>
      </c>
      <c r="J139" s="2" t="str">
        <f t="shared" si="118"/>
        <v/>
      </c>
      <c r="K139" s="2" t="str">
        <f t="shared" si="118"/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</row>
    <row r="140" spans="1:129" ht="14.25" customHeight="1">
      <c r="A140" s="3"/>
      <c r="B140" s="2" t="str">
        <f t="shared" si="55"/>
        <v/>
      </c>
      <c r="C140" s="2" t="str">
        <f t="shared" ref="C140:K140" si="119">IF($A140="", "", VLOOKUP($A140, $A$2:$BY$77, COLUMN(C$1), FALSE))</f>
        <v/>
      </c>
      <c r="D140" s="2" t="str">
        <f t="shared" si="119"/>
        <v/>
      </c>
      <c r="E140" s="2" t="str">
        <f t="shared" si="119"/>
        <v/>
      </c>
      <c r="F140" s="2" t="str">
        <f t="shared" si="119"/>
        <v/>
      </c>
      <c r="G140" s="2" t="str">
        <f t="shared" si="119"/>
        <v/>
      </c>
      <c r="H140" s="2" t="str">
        <f t="shared" si="119"/>
        <v/>
      </c>
      <c r="I140" s="2" t="str">
        <f t="shared" si="119"/>
        <v/>
      </c>
      <c r="J140" s="2" t="str">
        <f t="shared" si="119"/>
        <v/>
      </c>
      <c r="K140" s="2" t="str">
        <f t="shared" si="119"/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</row>
    <row r="141" spans="1:129" ht="14.25" customHeight="1">
      <c r="A141" s="3"/>
      <c r="B141" s="2" t="str">
        <f t="shared" si="55"/>
        <v/>
      </c>
      <c r="C141" s="2" t="str">
        <f t="shared" ref="C141:K141" si="120">IF($A141="", "", VLOOKUP($A141, $A$2:$BY$77, COLUMN(C$1), FALSE))</f>
        <v/>
      </c>
      <c r="D141" s="2" t="str">
        <f t="shared" si="120"/>
        <v/>
      </c>
      <c r="E141" s="2" t="str">
        <f t="shared" si="120"/>
        <v/>
      </c>
      <c r="F141" s="2" t="str">
        <f t="shared" si="120"/>
        <v/>
      </c>
      <c r="G141" s="2" t="str">
        <f t="shared" si="120"/>
        <v/>
      </c>
      <c r="H141" s="2" t="str">
        <f t="shared" si="120"/>
        <v/>
      </c>
      <c r="I141" s="2" t="str">
        <f t="shared" si="120"/>
        <v/>
      </c>
      <c r="J141" s="2" t="str">
        <f t="shared" si="120"/>
        <v/>
      </c>
      <c r="K141" s="2" t="str">
        <f t="shared" si="120"/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</row>
    <row r="142" spans="1:129" ht="14.25" customHeight="1">
      <c r="A142" s="3"/>
      <c r="B142" s="2" t="str">
        <f t="shared" si="55"/>
        <v/>
      </c>
      <c r="C142" s="2" t="str">
        <f t="shared" ref="C142:K142" si="121">IF($A142="", "", VLOOKUP($A142, $A$2:$BY$77, COLUMN(C$1), FALSE))</f>
        <v/>
      </c>
      <c r="D142" s="2" t="str">
        <f t="shared" si="121"/>
        <v/>
      </c>
      <c r="E142" s="2" t="str">
        <f t="shared" si="121"/>
        <v/>
      </c>
      <c r="F142" s="2" t="str">
        <f t="shared" si="121"/>
        <v/>
      </c>
      <c r="G142" s="2" t="str">
        <f t="shared" si="121"/>
        <v/>
      </c>
      <c r="H142" s="2" t="str">
        <f t="shared" si="121"/>
        <v/>
      </c>
      <c r="I142" s="2" t="str">
        <f t="shared" si="121"/>
        <v/>
      </c>
      <c r="J142" s="2" t="str">
        <f t="shared" si="121"/>
        <v/>
      </c>
      <c r="K142" s="2" t="str">
        <f t="shared" si="121"/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</row>
    <row r="143" spans="1:129" ht="14.25" customHeight="1">
      <c r="A143" s="3"/>
      <c r="B143" s="2" t="str">
        <f t="shared" si="55"/>
        <v/>
      </c>
      <c r="C143" s="2" t="str">
        <f t="shared" ref="C143:K143" si="122">IF($A143="", "", VLOOKUP($A143, $A$2:$BY$77, COLUMN(C$1), FALSE))</f>
        <v/>
      </c>
      <c r="D143" s="2" t="str">
        <f t="shared" si="122"/>
        <v/>
      </c>
      <c r="E143" s="2" t="str">
        <f t="shared" si="122"/>
        <v/>
      </c>
      <c r="F143" s="2" t="str">
        <f t="shared" si="122"/>
        <v/>
      </c>
      <c r="G143" s="2" t="str">
        <f t="shared" si="122"/>
        <v/>
      </c>
      <c r="H143" s="2" t="str">
        <f t="shared" si="122"/>
        <v/>
      </c>
      <c r="I143" s="2" t="str">
        <f t="shared" si="122"/>
        <v/>
      </c>
      <c r="J143" s="2" t="str">
        <f t="shared" si="122"/>
        <v/>
      </c>
      <c r="K143" s="2" t="str">
        <f t="shared" si="122"/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</row>
    <row r="144" spans="1:129" ht="14.25" customHeight="1">
      <c r="A144" s="3"/>
      <c r="B144" s="2" t="str">
        <f t="shared" si="55"/>
        <v/>
      </c>
      <c r="C144" s="2" t="str">
        <f t="shared" ref="C144:K144" si="123">IF($A144="", "", VLOOKUP($A144, $A$2:$BY$77, COLUMN(C$1), FALSE))</f>
        <v/>
      </c>
      <c r="D144" s="2" t="str">
        <f t="shared" si="123"/>
        <v/>
      </c>
      <c r="E144" s="2" t="str">
        <f t="shared" si="123"/>
        <v/>
      </c>
      <c r="F144" s="2" t="str">
        <f t="shared" si="123"/>
        <v/>
      </c>
      <c r="G144" s="2" t="str">
        <f t="shared" si="123"/>
        <v/>
      </c>
      <c r="H144" s="2" t="str">
        <f t="shared" si="123"/>
        <v/>
      </c>
      <c r="I144" s="2" t="str">
        <f t="shared" si="123"/>
        <v/>
      </c>
      <c r="J144" s="2" t="str">
        <f t="shared" si="123"/>
        <v/>
      </c>
      <c r="K144" s="2" t="str">
        <f t="shared" si="123"/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</row>
    <row r="145" spans="1:129" ht="14.25" customHeight="1">
      <c r="A145" s="3"/>
      <c r="B145" s="2" t="str">
        <f t="shared" si="55"/>
        <v/>
      </c>
      <c r="C145" s="2" t="str">
        <f t="shared" ref="C145:K145" si="124">IF($A145="", "", VLOOKUP($A145, $A$2:$BY$77, COLUMN(C$1), FALSE))</f>
        <v/>
      </c>
      <c r="D145" s="2" t="str">
        <f t="shared" si="124"/>
        <v/>
      </c>
      <c r="E145" s="2" t="str">
        <f t="shared" si="124"/>
        <v/>
      </c>
      <c r="F145" s="2" t="str">
        <f t="shared" si="124"/>
        <v/>
      </c>
      <c r="G145" s="2" t="str">
        <f t="shared" si="124"/>
        <v/>
      </c>
      <c r="H145" s="2" t="str">
        <f t="shared" si="124"/>
        <v/>
      </c>
      <c r="I145" s="2" t="str">
        <f t="shared" si="124"/>
        <v/>
      </c>
      <c r="J145" s="2" t="str">
        <f t="shared" si="124"/>
        <v/>
      </c>
      <c r="K145" s="2" t="str">
        <f t="shared" si="124"/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</row>
    <row r="146" spans="1:129" ht="14.25" customHeight="1">
      <c r="A146" s="3"/>
      <c r="B146" s="2" t="str">
        <f t="shared" si="55"/>
        <v/>
      </c>
      <c r="C146" s="2" t="str">
        <f t="shared" ref="C146:K146" si="125">IF($A146="", "", VLOOKUP($A146, $A$2:$BY$77, COLUMN(C$1), FALSE))</f>
        <v/>
      </c>
      <c r="D146" s="2" t="str">
        <f t="shared" si="125"/>
        <v/>
      </c>
      <c r="E146" s="2" t="str">
        <f t="shared" si="125"/>
        <v/>
      </c>
      <c r="F146" s="2" t="str">
        <f t="shared" si="125"/>
        <v/>
      </c>
      <c r="G146" s="2" t="str">
        <f t="shared" si="125"/>
        <v/>
      </c>
      <c r="H146" s="2" t="str">
        <f t="shared" si="125"/>
        <v/>
      </c>
      <c r="I146" s="2" t="str">
        <f t="shared" si="125"/>
        <v/>
      </c>
      <c r="J146" s="2" t="str">
        <f t="shared" si="125"/>
        <v/>
      </c>
      <c r="K146" s="2" t="str">
        <f t="shared" si="125"/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</row>
    <row r="147" spans="1:129" ht="14.25" customHeight="1">
      <c r="A147" s="3"/>
      <c r="B147" s="2" t="str">
        <f t="shared" si="55"/>
        <v/>
      </c>
      <c r="C147" s="2" t="str">
        <f t="shared" ref="C147:K147" si="126">IF($A147="", "", VLOOKUP($A147, $A$2:$BY$77, COLUMN(C$1), FALSE))</f>
        <v/>
      </c>
      <c r="D147" s="2" t="str">
        <f t="shared" si="126"/>
        <v/>
      </c>
      <c r="E147" s="2" t="str">
        <f t="shared" si="126"/>
        <v/>
      </c>
      <c r="F147" s="2" t="str">
        <f t="shared" si="126"/>
        <v/>
      </c>
      <c r="G147" s="2" t="str">
        <f t="shared" si="126"/>
        <v/>
      </c>
      <c r="H147" s="2" t="str">
        <f t="shared" si="126"/>
        <v/>
      </c>
      <c r="I147" s="2" t="str">
        <f t="shared" si="126"/>
        <v/>
      </c>
      <c r="J147" s="2" t="str">
        <f t="shared" si="126"/>
        <v/>
      </c>
      <c r="K147" s="2" t="str">
        <f t="shared" si="126"/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</row>
    <row r="148" spans="1:129" ht="14.25" customHeight="1">
      <c r="A148" s="3"/>
      <c r="B148" s="2" t="str">
        <f t="shared" si="55"/>
        <v/>
      </c>
      <c r="C148" s="2" t="str">
        <f t="shared" ref="C148:K148" si="127">IF($A148="", "", VLOOKUP($A148, $A$2:$BY$77, COLUMN(C$1), FALSE))</f>
        <v/>
      </c>
      <c r="D148" s="2" t="str">
        <f t="shared" si="127"/>
        <v/>
      </c>
      <c r="E148" s="2" t="str">
        <f t="shared" si="127"/>
        <v/>
      </c>
      <c r="F148" s="2" t="str">
        <f t="shared" si="127"/>
        <v/>
      </c>
      <c r="G148" s="2" t="str">
        <f t="shared" si="127"/>
        <v/>
      </c>
      <c r="H148" s="2" t="str">
        <f t="shared" si="127"/>
        <v/>
      </c>
      <c r="I148" s="2" t="str">
        <f t="shared" si="127"/>
        <v/>
      </c>
      <c r="J148" s="2" t="str">
        <f t="shared" si="127"/>
        <v/>
      </c>
      <c r="K148" s="2" t="str">
        <f t="shared" si="127"/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</row>
    <row r="149" spans="1:129" ht="14.25" customHeight="1">
      <c r="A149" s="3"/>
      <c r="B149" s="2" t="str">
        <f t="shared" si="55"/>
        <v/>
      </c>
      <c r="C149" s="2" t="str">
        <f t="shared" ref="C149:K149" si="128">IF($A149="", "", VLOOKUP($A149, $A$2:$BY$77, COLUMN(C$1), FALSE))</f>
        <v/>
      </c>
      <c r="D149" s="2" t="str">
        <f t="shared" si="128"/>
        <v/>
      </c>
      <c r="E149" s="2" t="str">
        <f t="shared" si="128"/>
        <v/>
      </c>
      <c r="F149" s="2" t="str">
        <f t="shared" si="128"/>
        <v/>
      </c>
      <c r="G149" s="2" t="str">
        <f t="shared" si="128"/>
        <v/>
      </c>
      <c r="H149" s="2" t="str">
        <f t="shared" si="128"/>
        <v/>
      </c>
      <c r="I149" s="2" t="str">
        <f t="shared" si="128"/>
        <v/>
      </c>
      <c r="J149" s="2" t="str">
        <f t="shared" si="128"/>
        <v/>
      </c>
      <c r="K149" s="2" t="str">
        <f t="shared" si="128"/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</row>
    <row r="150" spans="1:129" ht="14.25" customHeight="1">
      <c r="A150" s="3"/>
      <c r="B150" s="2" t="str">
        <f t="shared" si="55"/>
        <v/>
      </c>
      <c r="C150" s="2" t="str">
        <f t="shared" ref="C150:K150" si="129">IF($A150="", "", VLOOKUP($A150, $A$2:$BY$77, COLUMN(C$1), FALSE))</f>
        <v/>
      </c>
      <c r="D150" s="2" t="str">
        <f t="shared" si="129"/>
        <v/>
      </c>
      <c r="E150" s="2" t="str">
        <f t="shared" si="129"/>
        <v/>
      </c>
      <c r="F150" s="2" t="str">
        <f t="shared" si="129"/>
        <v/>
      </c>
      <c r="G150" s="2" t="str">
        <f t="shared" si="129"/>
        <v/>
      </c>
      <c r="H150" s="2" t="str">
        <f t="shared" si="129"/>
        <v/>
      </c>
      <c r="I150" s="2" t="str">
        <f t="shared" si="129"/>
        <v/>
      </c>
      <c r="J150" s="2" t="str">
        <f t="shared" si="129"/>
        <v/>
      </c>
      <c r="K150" s="2" t="str">
        <f t="shared" si="129"/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</row>
    <row r="151" spans="1:129" ht="14.25" customHeight="1">
      <c r="A151" s="3"/>
      <c r="B151" s="2" t="str">
        <f t="shared" si="55"/>
        <v/>
      </c>
      <c r="C151" s="2" t="str">
        <f t="shared" ref="C151:K151" si="130">IF($A151="", "", VLOOKUP($A151, $A$2:$BY$77, COLUMN(C$1), FALSE))</f>
        <v/>
      </c>
      <c r="D151" s="2" t="str">
        <f t="shared" si="130"/>
        <v/>
      </c>
      <c r="E151" s="2" t="str">
        <f t="shared" si="130"/>
        <v/>
      </c>
      <c r="F151" s="2" t="str">
        <f t="shared" si="130"/>
        <v/>
      </c>
      <c r="G151" s="2" t="str">
        <f t="shared" si="130"/>
        <v/>
      </c>
      <c r="H151" s="2" t="str">
        <f t="shared" si="130"/>
        <v/>
      </c>
      <c r="I151" s="2" t="str">
        <f t="shared" si="130"/>
        <v/>
      </c>
      <c r="J151" s="2" t="str">
        <f t="shared" si="130"/>
        <v/>
      </c>
      <c r="K151" s="2" t="str">
        <f t="shared" si="130"/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</row>
    <row r="152" spans="1:129" ht="14.25" customHeight="1">
      <c r="A152" s="3"/>
      <c r="B152" s="2" t="str">
        <f t="shared" si="55"/>
        <v/>
      </c>
      <c r="C152" s="2" t="str">
        <f t="shared" ref="C152:K152" si="131">IF($A152="", "", VLOOKUP($A152, $A$2:$BY$77, COLUMN(C$1), FALSE))</f>
        <v/>
      </c>
      <c r="D152" s="2" t="str">
        <f t="shared" si="131"/>
        <v/>
      </c>
      <c r="E152" s="2" t="str">
        <f t="shared" si="131"/>
        <v/>
      </c>
      <c r="F152" s="2" t="str">
        <f t="shared" si="131"/>
        <v/>
      </c>
      <c r="G152" s="2" t="str">
        <f t="shared" si="131"/>
        <v/>
      </c>
      <c r="H152" s="2" t="str">
        <f t="shared" si="131"/>
        <v/>
      </c>
      <c r="I152" s="2" t="str">
        <f t="shared" si="131"/>
        <v/>
      </c>
      <c r="J152" s="2" t="str">
        <f t="shared" si="131"/>
        <v/>
      </c>
      <c r="K152" s="2" t="str">
        <f t="shared" si="131"/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</row>
    <row r="153" spans="1:129" ht="14.25" customHeight="1">
      <c r="A153" s="3"/>
      <c r="B153" s="2" t="str">
        <f t="shared" si="55"/>
        <v/>
      </c>
      <c r="C153" s="2" t="str">
        <f t="shared" ref="C153:K153" si="132">IF($A153="", "", VLOOKUP($A153, $A$2:$BY$77, COLUMN(C$1), FALSE))</f>
        <v/>
      </c>
      <c r="D153" s="2" t="str">
        <f t="shared" si="132"/>
        <v/>
      </c>
      <c r="E153" s="2" t="str">
        <f t="shared" si="132"/>
        <v/>
      </c>
      <c r="F153" s="2" t="str">
        <f t="shared" si="132"/>
        <v/>
      </c>
      <c r="G153" s="2" t="str">
        <f t="shared" si="132"/>
        <v/>
      </c>
      <c r="H153" s="2" t="str">
        <f t="shared" si="132"/>
        <v/>
      </c>
      <c r="I153" s="2" t="str">
        <f t="shared" si="132"/>
        <v/>
      </c>
      <c r="J153" s="2" t="str">
        <f t="shared" si="132"/>
        <v/>
      </c>
      <c r="K153" s="2" t="str">
        <f t="shared" si="132"/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</row>
    <row r="154" spans="1:129" ht="14.2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</row>
    <row r="155" spans="1:129" ht="14.2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</row>
    <row r="156" spans="1:129" ht="14.2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</row>
    <row r="157" spans="1:129" ht="14.2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</row>
    <row r="158" spans="1:129" ht="14.2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</row>
    <row r="159" spans="1:129" ht="14.2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</row>
    <row r="160" spans="1:129" ht="14.2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</row>
    <row r="161" spans="1:129" ht="14.2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</row>
    <row r="162" spans="1:129" ht="14.2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</row>
    <row r="163" spans="1:129" ht="14.2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</row>
    <row r="164" spans="1:129" ht="14.2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</row>
    <row r="165" spans="1:129" ht="14.2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</row>
    <row r="166" spans="1:129" ht="14.2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</row>
    <row r="167" spans="1:129" ht="14.2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</row>
    <row r="168" spans="1:129" ht="14.2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</row>
    <row r="169" spans="1:129" ht="14.2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</row>
    <row r="170" spans="1:129" ht="14.2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</row>
    <row r="171" spans="1:129" ht="14.2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</row>
    <row r="172" spans="1:129" ht="14.2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</row>
    <row r="173" spans="1:129" ht="14.2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</row>
    <row r="174" spans="1:129" ht="14.2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</row>
    <row r="175" spans="1:129" ht="14.2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</row>
    <row r="176" spans="1:129" ht="14.2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</row>
    <row r="177" spans="1:129" ht="14.2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</row>
    <row r="178" spans="1:129" ht="14.2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</row>
    <row r="179" spans="1:129" ht="14.2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</row>
    <row r="180" spans="1:129" ht="14.2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</row>
    <row r="181" spans="1:129" ht="14.2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</row>
    <row r="182" spans="1:129" ht="14.2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</row>
    <row r="183" spans="1:129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</row>
    <row r="184" spans="1:129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</row>
    <row r="185" spans="1:129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</row>
    <row r="186" spans="1:129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</row>
    <row r="187" spans="1:129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</row>
    <row r="188" spans="1:129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</row>
    <row r="189" spans="1:12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</row>
    <row r="190" spans="1:129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</row>
    <row r="191" spans="1:129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</row>
    <row r="192" spans="1:129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</row>
    <row r="193" spans="1:129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</row>
    <row r="194" spans="1:129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</row>
    <row r="195" spans="1:129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</row>
    <row r="196" spans="1:129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</row>
    <row r="197" spans="1:129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</row>
    <row r="198" spans="1:129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</row>
    <row r="199" spans="1:12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</row>
    <row r="200" spans="1:129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</row>
    <row r="201" spans="1:129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</row>
    <row r="202" spans="1:129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</row>
    <row r="203" spans="1:129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</row>
    <row r="204" spans="1:129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</row>
    <row r="205" spans="1:129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</row>
    <row r="206" spans="1:129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</row>
    <row r="207" spans="1:129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</row>
    <row r="208" spans="1:129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</row>
    <row r="209" spans="1:12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</row>
    <row r="210" spans="1:129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</row>
    <row r="211" spans="1:129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</row>
    <row r="212" spans="1:129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</row>
    <row r="213" spans="1:129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</row>
    <row r="214" spans="1:129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</row>
    <row r="215" spans="1:129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</row>
    <row r="216" spans="1:129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</row>
    <row r="217" spans="1:129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</row>
    <row r="218" spans="1:129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</row>
    <row r="219" spans="1:12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</row>
    <row r="220" spans="1:129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</row>
    <row r="221" spans="1:129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</row>
    <row r="222" spans="1:129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</row>
    <row r="223" spans="1:129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</row>
    <row r="224" spans="1:129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</row>
    <row r="225" spans="1:129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</row>
    <row r="226" spans="1:129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</row>
    <row r="227" spans="1:129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</row>
    <row r="228" spans="1:129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</row>
    <row r="229" spans="1:1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</row>
    <row r="230" spans="1:129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</row>
    <row r="231" spans="1:129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</row>
    <row r="232" spans="1:129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</row>
    <row r="233" spans="1:129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</row>
    <row r="234" spans="1:129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</row>
    <row r="235" spans="1:129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</row>
    <row r="236" spans="1:129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</row>
    <row r="237" spans="1:129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</row>
    <row r="238" spans="1:129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</row>
    <row r="239" spans="1:12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</row>
    <row r="240" spans="1:129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</row>
    <row r="241" spans="1:129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</row>
    <row r="242" spans="1:129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</row>
    <row r="243" spans="1:129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</row>
    <row r="244" spans="1:129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</row>
    <row r="245" spans="1:129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</row>
    <row r="246" spans="1:129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</row>
    <row r="247" spans="1:129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</row>
    <row r="248" spans="1:129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</row>
    <row r="249" spans="1:12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</row>
    <row r="250" spans="1:129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</row>
    <row r="251" spans="1:129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</row>
    <row r="252" spans="1:129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</row>
    <row r="253" spans="1:129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</row>
    <row r="254" spans="1:129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</row>
    <row r="255" spans="1:129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</row>
    <row r="256" spans="1:129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</row>
    <row r="257" spans="1:129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</row>
    <row r="258" spans="1:129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</row>
    <row r="259" spans="1:12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</row>
    <row r="260" spans="1:129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</row>
    <row r="261" spans="1:129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</row>
    <row r="262" spans="1:129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</row>
    <row r="263" spans="1:129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</row>
    <row r="264" spans="1:129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</row>
    <row r="265" spans="1:129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</row>
    <row r="266" spans="1:129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</row>
    <row r="267" spans="1:129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</row>
    <row r="268" spans="1:129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</row>
    <row r="269" spans="1:12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</row>
    <row r="270" spans="1:129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</row>
    <row r="271" spans="1:129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</row>
    <row r="272" spans="1:129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</row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dataValidations count="1">
    <dataValidation type="list" allowBlank="1" showErrorMessage="1" sqref="A78:A182" xr:uid="{00000000-0002-0000-0000-000000000000}">
      <formula1>$A$2:$A$77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"/>
  <sheetViews>
    <sheetView workbookViewId="0"/>
  </sheetViews>
  <sheetFormatPr baseColWidth="10" defaultColWidth="12.6328125" defaultRowHeight="15" customHeight="1"/>
  <sheetData>
    <row r="1" spans="1:3">
      <c r="A1" s="1" t="s">
        <v>0</v>
      </c>
      <c r="B1" s="1" t="s">
        <v>2</v>
      </c>
      <c r="C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"/>
  <sheetViews>
    <sheetView workbookViewId="0"/>
  </sheetViews>
  <sheetFormatPr baseColWidth="10" defaultColWidth="12.6328125" defaultRowHeight="15" customHeight="1"/>
  <sheetData>
    <row r="1" spans="1:7">
      <c r="A1" s="1" t="s">
        <v>1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"/>
  <sheetViews>
    <sheetView workbookViewId="0"/>
  </sheetViews>
  <sheetFormatPr baseColWidth="10" defaultColWidth="12.6328125" defaultRowHeight="15" customHeight="1"/>
  <sheetData>
    <row r="1" spans="1:8">
      <c r="A1" s="1" t="s">
        <v>0</v>
      </c>
      <c r="B1" s="1" t="s">
        <v>4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Joueurs</vt:lpstr>
      <vt:lpstr>Tests complémentaires</vt:lpstr>
      <vt:lpstr>Blessures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KACZMAREK</dc:creator>
  <cp:lastModifiedBy>ANTOINE KACZMAREK</cp:lastModifiedBy>
  <dcterms:created xsi:type="dcterms:W3CDTF">2026-05-15T10:53:14Z</dcterms:created>
  <dcterms:modified xsi:type="dcterms:W3CDTF">2026-08-28T14:51:10Z</dcterms:modified>
</cp:coreProperties>
</file>